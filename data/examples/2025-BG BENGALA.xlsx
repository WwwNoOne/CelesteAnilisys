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24226"/>
  <xr:revisionPtr revIDLastSave="1" documentId="11_1C129B3D71ED2F6C5469C46E3F060D45D2FF67F4" xr6:coauthVersionLast="47" xr6:coauthVersionMax="47" xr10:uidLastSave="{07F29F3A-1630-4EF5-A07D-B2F0ABDEE76F}"/>
  <bookViews>
    <workbookView xWindow="-60" yWindow="-60" windowWidth="15480" windowHeight="11640" firstSheet="1" activeTab="1" xr2:uid="{00000000-000D-0000-FFFF-FFFF00000000}"/>
  </bookViews>
  <sheets>
    <sheet name="2024" sheetId="1" r:id="rId1"/>
    <sheet name="2025" sheetId="2" r:id="rId2"/>
  </sheets>
  <definedNames>
    <definedName name="_xlnm.Print_Area" localSheetId="0">'2024'!$A$1:$G$34</definedName>
    <definedName name="_xlnm.Print_Area" localSheetId="1">'2025'!$A$1:$G$34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C12" i="2"/>
  <c r="G11" i="2"/>
  <c r="C7" i="2"/>
  <c r="C19" i="2" s="1"/>
  <c r="G19" i="2" l="1"/>
  <c r="H19" i="2" s="1"/>
  <c r="C7" i="1"/>
  <c r="G7" i="1"/>
  <c r="C12" i="1"/>
  <c r="C19" i="1" s="1"/>
  <c r="G10" i="1"/>
  <c r="G19" i="1"/>
  <c r="H19" i="1"/>
</calcChain>
</file>

<file path=xl/sharedStrings.xml><?xml version="1.0" encoding="utf-8"?>
<sst xmlns="http://schemas.openxmlformats.org/spreadsheetml/2006/main" count="109" uniqueCount="37">
  <si>
    <t>BENGALA AUDIOVISUAL, S.A. DE C.V.</t>
  </si>
  <si>
    <t>Balance General Al 31 de Diciembre de 2024</t>
  </si>
  <si>
    <t>(VALORES EXPRESADOS EN DOLARES DE LOS ESTADOS UNIDOS DE AMERICA)</t>
  </si>
  <si>
    <t>ACTIVOS</t>
  </si>
  <si>
    <t>PASIVOS</t>
  </si>
  <si>
    <t>CORRIENTE</t>
  </si>
  <si>
    <t>EFECTIVO Y EQUIVALENTES</t>
  </si>
  <si>
    <t>CUENTAS POR PAGAR</t>
  </si>
  <si>
    <t>CUENTAS Y DOCUMENTOS POR COBRAR</t>
  </si>
  <si>
    <t>RETENCIONES POR PAGAR</t>
  </si>
  <si>
    <t>PAGOS ANTICIPADOS</t>
  </si>
  <si>
    <t>PATRIMONIO</t>
  </si>
  <si>
    <t>IVA CREDITO FISCAL</t>
  </si>
  <si>
    <t>CAPITAL SOCIAL</t>
  </si>
  <si>
    <t>NO CORRIENTE</t>
  </si>
  <si>
    <t>RESERVA LEGAL</t>
  </si>
  <si>
    <t>PROPIEDAD PLANTA Y EQUIPO</t>
  </si>
  <si>
    <t>UTILIDADES ACUMULADAS</t>
  </si>
  <si>
    <t>DEPRECIACION ACUMULAD  PROPIEDAD P. y E.</t>
  </si>
  <si>
    <t>PERDIDAS ACUMULADAS</t>
  </si>
  <si>
    <t>UTILIDAD DEL EJERCICIO</t>
  </si>
  <si>
    <t>TOTAL ACTIVO</t>
  </si>
  <si>
    <t>TOTAL PASIVO y PATRIMONIO</t>
  </si>
  <si>
    <t>GABRIEL PERDOMO RODAS</t>
  </si>
  <si>
    <t>LIC. RONNY ALEXIS CHAVEZ SANTOS</t>
  </si>
  <si>
    <t>REPRESENTANTE LEGAL</t>
  </si>
  <si>
    <t>CONTADOR GENERAL</t>
  </si>
  <si>
    <t>LIC. JUAN CARLOS MIRA JORGE</t>
  </si>
  <si>
    <t>AUDITOR EXTERNO</t>
  </si>
  <si>
    <t>_______________________________________</t>
  </si>
  <si>
    <t>Nombre Firmante1</t>
  </si>
  <si>
    <t>Nombre Firmante2</t>
  </si>
  <si>
    <t>Nombre Firmante3</t>
  </si>
  <si>
    <t>Nombre Firmante4</t>
  </si>
  <si>
    <t>Balance General Al 31 de Diciembre de 2025</t>
  </si>
  <si>
    <t>IMPUESTOS POR PAGAR</t>
  </si>
  <si>
    <t>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</si>
</sst>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9">
    <font>
      <sz val="10"/>
      <name val="Arial"/>
    </font>
    <font>
      <sz val="10"/>
      <name val="Arial"/>
    </font>
    <font>
      <sz val="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u/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1" xfId="0" applyFont="1" applyBorder="1"/>
    <xf numFmtId="0" fontId="3" fillId="0" borderId="0" xfId="0" applyFont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0" fillId="0" borderId="2" xfId="0" applyBorder="1"/>
    <xf numFmtId="0" fontId="5" fillId="0" borderId="0" xfId="0" applyFont="1"/>
    <xf numFmtId="0" fontId="6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4" fontId="2" fillId="0" borderId="0" xfId="1" applyNumberFormat="1" applyFont="1"/>
    <xf numFmtId="164" fontId="2" fillId="0" borderId="1" xfId="1" applyNumberFormat="1" applyFont="1" applyBorder="1"/>
    <xf numFmtId="164" fontId="5" fillId="0" borderId="0" xfId="1" applyNumberFormat="1" applyFont="1" applyBorder="1"/>
    <xf numFmtId="4" fontId="2" fillId="0" borderId="0" xfId="0" applyNumberFormat="1" applyFont="1"/>
    <xf numFmtId="164" fontId="2" fillId="0" borderId="0" xfId="1" applyNumberFormat="1" applyFont="1" applyBorder="1"/>
    <xf numFmtId="164" fontId="8" fillId="0" borderId="0" xfId="1" applyNumberFormat="1" applyFont="1" applyBorder="1"/>
    <xf numFmtId="164" fontId="2" fillId="0" borderId="0" xfId="1" applyNumberFormat="1" applyFont="1" applyFill="1"/>
    <xf numFmtId="164" fontId="5" fillId="0" borderId="0" xfId="1" applyNumberFormat="1" applyFont="1" applyFill="1"/>
    <xf numFmtId="164" fontId="2" fillId="0" borderId="2" xfId="1" applyNumberFormat="1" applyFont="1" applyBorder="1"/>
    <xf numFmtId="0" fontId="2" fillId="0" borderId="0" xfId="0" applyFont="1" applyAlignment="1">
      <alignment horizontal="center"/>
    </xf>
    <xf numFmtId="164" fontId="5" fillId="0" borderId="3" xfId="1" applyNumberFormat="1" applyFont="1" applyBorder="1"/>
  </cellXfs>
  <cellStyles count="3">
    <cellStyle name="Millares" xfId="1" builtinId="3"/>
    <cellStyle name="Millares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showGridLines="0" workbookViewId="0">
      <selection activeCell="F21" sqref="F21"/>
    </sheetView>
  </sheetViews>
  <sheetFormatPr defaultColWidth="9.140625" defaultRowHeight="12.75"/>
  <cols>
    <col min="1" max="1" width="35.5703125" customWidth="1"/>
    <col min="2" max="3" width="11.28515625" customWidth="1"/>
    <col min="4" max="4" width="2.7109375" customWidth="1"/>
    <col min="5" max="5" width="35.7109375" customWidth="1"/>
    <col min="6" max="7" width="11.28515625" customWidth="1"/>
    <col min="8" max="8" width="9.5703125" bestFit="1" customWidth="1"/>
    <col min="9" max="256" width="11.42578125" customWidth="1"/>
  </cols>
  <sheetData>
    <row r="1" spans="1:14" ht="18">
      <c r="A1" s="4" t="s">
        <v>0</v>
      </c>
      <c r="B1" s="2"/>
      <c r="C1" s="2"/>
      <c r="D1" s="2"/>
      <c r="E1" s="2"/>
      <c r="F1" s="2"/>
      <c r="G1" s="2"/>
    </row>
    <row r="2" spans="1:14">
      <c r="A2" s="2" t="s">
        <v>1</v>
      </c>
      <c r="B2" s="2"/>
      <c r="C2" s="2"/>
      <c r="D2" s="2"/>
      <c r="E2" s="2"/>
      <c r="F2" s="2"/>
      <c r="G2" s="2"/>
    </row>
    <row r="3" spans="1:14">
      <c r="A3" s="2" t="s">
        <v>2</v>
      </c>
      <c r="B3" s="2"/>
      <c r="C3" s="2"/>
      <c r="D3" s="2"/>
      <c r="E3" s="2"/>
      <c r="F3" s="2"/>
      <c r="G3" s="2"/>
    </row>
    <row r="6" spans="1:14">
      <c r="A6" s="5" t="s">
        <v>3</v>
      </c>
      <c r="B6" s="5"/>
      <c r="C6" s="5"/>
      <c r="D6" s="6"/>
      <c r="E6" s="5" t="s">
        <v>4</v>
      </c>
      <c r="F6" s="5"/>
      <c r="G6" s="5"/>
    </row>
    <row r="7" spans="1:14" s="1" customFormat="1" ht="11.25">
      <c r="A7" s="7" t="s">
        <v>5</v>
      </c>
      <c r="B7" s="10"/>
      <c r="C7" s="11">
        <f>+SUM(B8:B11)</f>
        <v>84655.67</v>
      </c>
      <c r="E7" s="7" t="s">
        <v>5</v>
      </c>
      <c r="F7" s="10"/>
      <c r="G7" s="11">
        <f>+SUM(F8:F9)</f>
        <v>76681.150000000009</v>
      </c>
      <c r="L7" s="14"/>
    </row>
    <row r="8" spans="1:14" s="1" customFormat="1" ht="11.25">
      <c r="A8" s="1" t="s">
        <v>6</v>
      </c>
      <c r="B8" s="11">
        <v>4834.34</v>
      </c>
      <c r="C8" s="10"/>
      <c r="E8" s="1" t="s">
        <v>7</v>
      </c>
      <c r="F8" s="11">
        <v>76091.600000000006</v>
      </c>
      <c r="G8" s="10"/>
    </row>
    <row r="9" spans="1:14" s="1" customFormat="1" ht="11.25">
      <c r="A9" s="1" t="s">
        <v>8</v>
      </c>
      <c r="B9" s="11">
        <v>75988.28</v>
      </c>
      <c r="C9" s="10"/>
      <c r="E9" s="1" t="s">
        <v>9</v>
      </c>
      <c r="F9" s="19">
        <v>589.54999999999995</v>
      </c>
      <c r="G9" s="10"/>
    </row>
    <row r="10" spans="1:14" s="1" customFormat="1" ht="11.25">
      <c r="A10" s="1" t="s">
        <v>10</v>
      </c>
      <c r="B10" s="15">
        <v>1434.35</v>
      </c>
      <c r="C10" s="10"/>
      <c r="E10" s="7" t="s">
        <v>11</v>
      </c>
      <c r="F10" s="10"/>
      <c r="G10" s="15">
        <f>+SUM(F11:F15)</f>
        <v>7974.5199999999959</v>
      </c>
      <c r="N10" s="14"/>
    </row>
    <row r="11" spans="1:14" s="1" customFormat="1" ht="13.5">
      <c r="A11" s="1" t="s">
        <v>12</v>
      </c>
      <c r="B11" s="16">
        <v>2398.6999999999998</v>
      </c>
      <c r="E11" s="1" t="s">
        <v>13</v>
      </c>
      <c r="F11" s="15">
        <v>2000</v>
      </c>
      <c r="N11" s="14"/>
    </row>
    <row r="12" spans="1:14" s="1" customFormat="1" ht="11.25">
      <c r="A12" s="7" t="s">
        <v>14</v>
      </c>
      <c r="B12" s="10"/>
      <c r="C12" s="11">
        <f>+SUM(B13:B14)</f>
        <v>0</v>
      </c>
      <c r="E12" s="1" t="s">
        <v>15</v>
      </c>
      <c r="F12" s="15">
        <v>400</v>
      </c>
      <c r="G12" s="10"/>
      <c r="L12" s="14"/>
    </row>
    <row r="13" spans="1:14" s="1" customFormat="1" ht="11.25">
      <c r="A13" s="1" t="s">
        <v>16</v>
      </c>
      <c r="B13" s="17">
        <v>1945.2</v>
      </c>
      <c r="C13" s="10"/>
      <c r="E13" s="1" t="s">
        <v>17</v>
      </c>
      <c r="F13" s="15">
        <v>42861.85</v>
      </c>
      <c r="G13" s="10"/>
      <c r="N13" s="14"/>
    </row>
    <row r="14" spans="1:14" s="1" customFormat="1" ht="11.25">
      <c r="A14" s="1" t="s">
        <v>18</v>
      </c>
      <c r="B14" s="18">
        <v>-1945.2</v>
      </c>
      <c r="C14" s="10"/>
      <c r="E14" s="1" t="s">
        <v>19</v>
      </c>
      <c r="F14" s="15">
        <v>-42895.37</v>
      </c>
      <c r="G14" s="10"/>
      <c r="L14" s="14"/>
      <c r="N14" s="14"/>
    </row>
    <row r="15" spans="1:14" s="1" customFormat="1" ht="11.25">
      <c r="B15" s="10"/>
      <c r="C15" s="10"/>
      <c r="E15" s="7" t="s">
        <v>20</v>
      </c>
      <c r="F15" s="13">
        <v>5608.04</v>
      </c>
      <c r="G15" s="10"/>
      <c r="L15" s="14"/>
    </row>
    <row r="16" spans="1:14" s="1" customFormat="1" ht="11.25">
      <c r="B16" s="10"/>
      <c r="C16" s="10"/>
    </row>
    <row r="17" spans="1:8" s="1" customFormat="1" ht="11.25">
      <c r="B17" s="10"/>
      <c r="C17" s="10"/>
      <c r="E17" s="7"/>
      <c r="F17" s="13"/>
      <c r="G17" s="10"/>
    </row>
    <row r="18" spans="1:8" s="1" customFormat="1" ht="11.25">
      <c r="B18" s="10"/>
      <c r="C18" s="10"/>
      <c r="F18" s="10"/>
      <c r="G18" s="10"/>
    </row>
    <row r="19" spans="1:8" s="1" customFormat="1" ht="12" thickBot="1">
      <c r="A19" s="8" t="s">
        <v>21</v>
      </c>
      <c r="B19" s="10"/>
      <c r="C19" s="12">
        <f>+SUM(C7:C18)</f>
        <v>84655.67</v>
      </c>
      <c r="E19" s="8" t="s">
        <v>22</v>
      </c>
      <c r="F19" s="10"/>
      <c r="G19" s="12">
        <f>+SUM(G7:G18)</f>
        <v>84655.67</v>
      </c>
      <c r="H19" s="9">
        <f>+C19-G19</f>
        <v>0</v>
      </c>
    </row>
    <row r="20" spans="1:8" s="1" customFormat="1" ht="12" thickTop="1"/>
    <row r="21" spans="1:8" s="1" customFormat="1" ht="11.25"/>
    <row r="22" spans="1:8" s="1" customFormat="1" ht="11.25"/>
    <row r="23" spans="1:8" s="1" customFormat="1" ht="11.25"/>
    <row r="24" spans="1:8" s="1" customFormat="1" ht="11.25">
      <c r="A24" s="20" t="s">
        <v>23</v>
      </c>
      <c r="B24" s="20"/>
      <c r="C24" s="20"/>
      <c r="E24" s="20" t="s">
        <v>24</v>
      </c>
      <c r="F24" s="20"/>
      <c r="G24" s="20"/>
    </row>
    <row r="25" spans="1:8" s="1" customFormat="1" ht="11.25">
      <c r="A25" s="20" t="s">
        <v>25</v>
      </c>
      <c r="B25" s="20"/>
      <c r="C25" s="20"/>
      <c r="E25" s="20" t="s">
        <v>26</v>
      </c>
      <c r="F25" s="20"/>
      <c r="G25" s="20"/>
    </row>
    <row r="26" spans="1:8" s="1" customFormat="1" ht="11.25"/>
    <row r="27" spans="1:8" s="1" customFormat="1" ht="11.25"/>
    <row r="28" spans="1:8" s="1" customFormat="1" ht="11.25"/>
    <row r="29" spans="1:8" s="1" customFormat="1" ht="11.25"/>
    <row r="30" spans="1:8" s="1" customFormat="1" ht="11.25"/>
    <row r="31" spans="1:8" s="1" customFormat="1" ht="11.25">
      <c r="A31" s="20" t="s">
        <v>27</v>
      </c>
      <c r="B31" s="20"/>
      <c r="C31" s="20"/>
      <c r="D31" s="20"/>
      <c r="E31" s="20"/>
      <c r="F31" s="20"/>
      <c r="G31" s="20"/>
    </row>
    <row r="32" spans="1:8" s="1" customFormat="1" ht="11.25">
      <c r="A32" s="20" t="s">
        <v>28</v>
      </c>
      <c r="B32" s="20"/>
      <c r="C32" s="20"/>
      <c r="D32" s="20"/>
      <c r="E32" s="20"/>
      <c r="F32" s="20"/>
      <c r="G32" s="20"/>
    </row>
    <row r="33" s="1" customFormat="1" ht="11.25"/>
    <row r="34" s="1" customFormat="1" ht="11.25"/>
    <row r="35" s="1" customFormat="1" ht="11.25"/>
    <row r="36" s="1" customFormat="1" ht="11.25"/>
    <row r="37" s="1" customFormat="1" ht="11.25"/>
    <row r="38" s="1" customFormat="1" ht="11.25"/>
    <row r="39" s="1" customFormat="1" ht="11.25"/>
    <row r="40" s="1" customFormat="1" ht="11.25"/>
    <row r="41" s="1" customFormat="1" ht="11.25"/>
    <row r="42" s="1" customFormat="1" ht="11.25"/>
    <row r="43" s="1" customFormat="1" ht="11.25"/>
    <row r="44" s="1" customFormat="1" ht="11.25"/>
    <row r="45" s="1" customFormat="1" ht="11.25"/>
    <row r="46" s="1" customFormat="1" ht="11.25"/>
    <row r="47" s="1" customFormat="1" ht="11.25"/>
    <row r="48" s="1" customFormat="1" ht="11.25"/>
    <row r="49" s="1" customFormat="1" ht="11.25"/>
    <row r="50" s="1" customFormat="1" ht="11.25"/>
    <row r="51" s="1" customFormat="1" ht="11.25"/>
    <row r="52" s="1" customFormat="1" ht="11.25"/>
    <row r="53" s="1" customFormat="1" ht="11.25"/>
    <row r="54" s="1" customFormat="1" ht="11.25"/>
    <row r="55" s="1" customFormat="1" ht="11.25"/>
    <row r="56" s="1" customFormat="1" ht="11.25"/>
    <row r="57" s="1" customFormat="1" ht="11.25"/>
    <row r="58" s="1" customFormat="1" ht="11.25"/>
    <row r="59" s="1" customFormat="1" ht="11.25"/>
    <row r="60" s="1" customFormat="1" ht="11.25"/>
    <row r="61" s="1" customFormat="1" ht="11.25"/>
    <row r="62" s="1" customFormat="1" ht="11.25"/>
    <row r="63" s="1" customFormat="1" ht="11.25"/>
    <row r="64" s="1" customFormat="1" ht="11.25"/>
    <row r="65" s="1" customFormat="1" ht="11.25"/>
    <row r="66" s="1" customFormat="1" ht="11.25"/>
    <row r="67" s="1" customFormat="1" ht="11.25"/>
    <row r="68" s="1" customFormat="1" ht="11.25"/>
    <row r="69" s="1" customFormat="1" ht="11.25"/>
    <row r="70" s="1" customFormat="1" ht="11.25"/>
    <row r="71" s="1" customFormat="1" ht="11.25"/>
    <row r="72" s="1" customFormat="1" ht="11.25"/>
    <row r="73" s="1" customFormat="1" ht="11.25"/>
    <row r="74" s="1" customFormat="1" ht="11.25"/>
    <row r="75" s="1" customFormat="1" ht="11.25"/>
    <row r="76" s="1" customFormat="1" ht="11.25"/>
    <row r="77" s="1" customFormat="1" ht="11.25"/>
    <row r="78" s="1" customFormat="1" ht="11.25"/>
    <row r="79" s="1" customFormat="1" ht="11.25"/>
    <row r="80" s="1" customFormat="1" ht="11.25"/>
    <row r="81" s="1" customFormat="1" ht="11.25"/>
    <row r="82" s="1" customFormat="1" ht="11.25"/>
    <row r="83" s="1" customFormat="1" ht="11.25"/>
    <row r="84" s="1" customFormat="1" ht="11.25"/>
    <row r="85" s="1" customFormat="1" ht="11.25"/>
    <row r="86" s="1" customFormat="1" ht="11.25"/>
    <row r="87" s="1" customFormat="1" ht="11.25"/>
    <row r="88" s="1" customFormat="1" ht="11.25"/>
    <row r="89" s="1" customFormat="1" ht="11.25"/>
    <row r="90" s="1" customFormat="1" ht="11.25"/>
    <row r="91" s="1" customFormat="1" ht="11.25"/>
    <row r="92" s="1" customFormat="1" ht="11.25"/>
    <row r="93" s="1" customFormat="1" ht="11.25"/>
    <row r="94" s="1" customFormat="1" ht="11.25"/>
    <row r="95" s="1" customFormat="1" ht="11.25"/>
    <row r="96" s="1" customFormat="1" ht="11.25"/>
    <row r="97" s="1" customFormat="1" ht="11.25"/>
    <row r="98" s="1" customFormat="1" ht="11.25"/>
    <row r="99" s="1" customFormat="1" ht="11.25"/>
    <row r="100" s="1" customFormat="1" ht="11.25"/>
    <row r="101" s="1" customFormat="1" ht="11.25"/>
    <row r="102" s="1" customFormat="1" ht="11.25"/>
    <row r="103" s="1" customFormat="1" ht="11.25"/>
    <row r="104" s="1" customFormat="1" ht="11.25"/>
    <row r="105" s="1" customFormat="1" ht="11.25"/>
    <row r="106" s="1" customFormat="1" ht="11.25"/>
    <row r="107" s="1" customFormat="1" ht="11.25"/>
    <row r="108" s="1" customFormat="1" ht="11.25"/>
    <row r="109" s="1" customFormat="1" ht="11.25"/>
    <row r="110" s="1" customFormat="1" ht="11.25"/>
    <row r="111" s="1" customFormat="1" ht="11.25"/>
    <row r="112" s="1" customFormat="1" ht="11.25"/>
    <row r="113" s="1" customFormat="1" ht="11.25"/>
    <row r="114" s="1" customFormat="1" ht="11.25"/>
    <row r="115" s="1" customFormat="1" ht="11.25"/>
    <row r="116" s="1" customFormat="1" ht="11.25"/>
    <row r="117" s="1" customFormat="1" ht="11.25"/>
    <row r="118" s="1" customFormat="1" ht="11.25"/>
    <row r="119" s="1" customFormat="1" ht="11.25"/>
    <row r="120" s="1" customFormat="1" ht="11.25"/>
    <row r="121" s="1" customFormat="1" ht="11.25"/>
    <row r="122" s="1" customFormat="1" ht="11.25"/>
    <row r="123" s="1" customFormat="1" ht="11.25"/>
    <row r="124" s="1" customFormat="1" ht="11.25"/>
    <row r="125" s="1" customFormat="1" ht="11.25"/>
    <row r="126" s="1" customFormat="1" ht="11.25"/>
    <row r="127" s="1" customFormat="1" ht="11.25"/>
    <row r="128" s="1" customFormat="1" ht="11.25"/>
    <row r="129" s="1" customFormat="1" ht="11.25"/>
    <row r="130" s="1" customFormat="1" ht="11.25"/>
    <row r="131" s="1" customFormat="1" ht="11.25"/>
    <row r="132" s="1" customFormat="1" ht="11.25"/>
    <row r="133" s="1" customFormat="1" ht="11.25"/>
    <row r="134" s="1" customFormat="1" ht="11.25"/>
    <row r="135" s="1" customFormat="1" ht="11.25"/>
    <row r="136" s="1" customFormat="1" ht="11.25"/>
    <row r="137" s="1" customFormat="1" ht="11.25"/>
    <row r="138" s="1" customFormat="1" ht="11.25"/>
    <row r="139" s="1" customFormat="1" ht="11.25"/>
    <row r="140" s="1" customFormat="1" ht="11.25"/>
    <row r="141" s="1" customFormat="1" ht="11.25"/>
    <row r="142" s="1" customFormat="1" ht="11.25"/>
    <row r="143" s="1" customFormat="1" ht="11.25"/>
    <row r="144" s="1" customFormat="1" ht="11.25"/>
    <row r="145" s="1" customFormat="1" ht="11.25"/>
    <row r="146" s="1" customFormat="1" ht="11.25"/>
    <row r="147" s="1" customFormat="1" ht="11.25"/>
    <row r="148" s="1" customFormat="1" ht="11.25"/>
    <row r="149" s="1" customFormat="1" ht="11.25"/>
    <row r="150" s="1" customFormat="1" ht="11.25"/>
    <row r="151" s="1" customFormat="1" ht="11.25"/>
    <row r="152" s="1" customFormat="1" ht="11.25"/>
    <row r="153" s="1" customFormat="1" ht="11.25"/>
    <row r="154" s="1" customFormat="1" ht="11.25"/>
    <row r="155" s="1" customFormat="1" ht="11.25"/>
    <row r="156" s="1" customFormat="1" ht="11.25"/>
    <row r="157" s="1" customFormat="1" ht="11.25"/>
    <row r="158" s="1" customFormat="1" ht="11.25"/>
    <row r="159" s="1" customFormat="1" ht="11.25"/>
    <row r="160" s="1" customFormat="1" ht="11.25"/>
    <row r="161" s="1" customFormat="1" ht="11.25"/>
    <row r="162" s="1" customFormat="1" ht="11.25"/>
    <row r="163" s="1" customFormat="1" ht="11.25"/>
    <row r="164" s="1" customFormat="1" ht="11.25"/>
    <row r="165" s="1" customFormat="1" ht="11.25"/>
    <row r="166" s="1" customFormat="1" ht="11.25"/>
    <row r="167" s="1" customFormat="1" ht="11.25"/>
    <row r="168" s="1" customFormat="1" ht="11.25"/>
    <row r="169" s="1" customFormat="1" ht="11.25"/>
    <row r="170" s="1" customFormat="1" ht="11.25"/>
    <row r="171" s="1" customFormat="1" ht="11.25"/>
    <row r="172" s="1" customFormat="1" ht="11.25"/>
    <row r="173" s="1" customFormat="1" ht="11.25"/>
    <row r="174" s="1" customFormat="1" ht="11.25"/>
    <row r="175" s="1" customFormat="1" ht="11.25"/>
    <row r="176" s="1" customFormat="1" ht="11.25"/>
    <row r="177" s="1" customFormat="1" ht="11.25"/>
    <row r="178" s="1" customFormat="1" ht="11.25"/>
    <row r="179" s="1" customFormat="1" ht="11.25"/>
    <row r="180" s="1" customFormat="1" ht="11.25"/>
    <row r="181" s="1" customFormat="1" ht="11.25"/>
    <row r="182" s="1" customFormat="1" ht="11.25"/>
    <row r="183" s="1" customFormat="1" ht="11.25"/>
    <row r="184" s="1" customFormat="1" ht="11.25"/>
    <row r="185" s="1" customFormat="1" ht="11.25"/>
    <row r="186" s="1" customFormat="1" ht="11.25"/>
    <row r="187" s="1" customFormat="1" ht="11.25"/>
    <row r="188" s="1" customFormat="1" ht="11.25"/>
    <row r="189" s="1" customFormat="1" ht="11.25"/>
    <row r="190" s="1" customFormat="1" ht="11.25"/>
    <row r="191" s="1" customFormat="1" ht="11.25"/>
    <row r="192" s="1" customFormat="1" ht="11.25"/>
    <row r="193" spans="1:7" s="1" customFormat="1" ht="11.25"/>
    <row r="194" spans="1:7" s="1" customFormat="1" ht="11.25"/>
    <row r="195" spans="1:7" s="1" customFormat="1" ht="11.25"/>
    <row r="196" spans="1:7" s="1" customFormat="1" ht="11.25"/>
    <row r="197" spans="1:7" s="1" customFormat="1" ht="11.25"/>
    <row r="198" spans="1:7" s="1" customFormat="1" ht="11.25"/>
    <row r="199" spans="1:7" s="1" customFormat="1" ht="12" thickBot="1">
      <c r="A199" s="3"/>
    </row>
    <row r="200" spans="1:7" ht="13.5" thickTop="1"/>
    <row r="204" spans="1:7">
      <c r="A204" s="2" t="s">
        <v>29</v>
      </c>
      <c r="B204" s="2"/>
      <c r="C204" s="2"/>
      <c r="D204" s="2"/>
      <c r="E204" s="2" t="s">
        <v>29</v>
      </c>
      <c r="F204" s="2"/>
      <c r="G204" s="2"/>
    </row>
    <row r="205" spans="1:7">
      <c r="A205" s="2" t="s">
        <v>30</v>
      </c>
      <c r="B205" s="2"/>
      <c r="C205" s="2"/>
      <c r="D205" s="2"/>
      <c r="E205" s="2" t="s">
        <v>31</v>
      </c>
      <c r="F205" s="2"/>
      <c r="G205" s="2"/>
    </row>
    <row r="209" spans="1:7">
      <c r="A209" s="2" t="s">
        <v>29</v>
      </c>
      <c r="B209" s="2"/>
      <c r="C209" s="2"/>
      <c r="D209" s="2"/>
      <c r="E209" s="2"/>
      <c r="F209" s="2"/>
      <c r="G209" s="2"/>
    </row>
    <row r="210" spans="1:7">
      <c r="A210" s="2" t="s">
        <v>32</v>
      </c>
      <c r="B210" s="2"/>
      <c r="C210" s="2"/>
      <c r="D210" s="2"/>
      <c r="E210" s="2"/>
      <c r="F210" s="2"/>
      <c r="G210" s="2"/>
    </row>
    <row r="214" spans="1:7">
      <c r="A214" s="2" t="s">
        <v>29</v>
      </c>
      <c r="B214" s="2"/>
      <c r="C214" s="2"/>
      <c r="D214" s="2"/>
      <c r="E214" s="2" t="s">
        <v>29</v>
      </c>
      <c r="F214" s="2"/>
      <c r="G214" s="2"/>
    </row>
    <row r="215" spans="1:7">
      <c r="A215" s="2" t="s">
        <v>30</v>
      </c>
      <c r="B215" s="2"/>
      <c r="C215" s="2"/>
      <c r="D215" s="2"/>
      <c r="E215" s="2" t="s">
        <v>31</v>
      </c>
      <c r="F215" s="2"/>
      <c r="G215" s="2"/>
    </row>
    <row r="219" spans="1:7">
      <c r="A219" s="2" t="s">
        <v>29</v>
      </c>
      <c r="B219" s="2"/>
      <c r="C219" s="2"/>
      <c r="D219" s="2"/>
      <c r="E219" s="2" t="s">
        <v>29</v>
      </c>
      <c r="F219" s="2"/>
      <c r="G219" s="2"/>
    </row>
    <row r="220" spans="1:7">
      <c r="A220" s="2" t="s">
        <v>32</v>
      </c>
      <c r="B220" s="2"/>
      <c r="C220" s="2"/>
      <c r="D220" s="2"/>
      <c r="E220" s="2" t="s">
        <v>33</v>
      </c>
      <c r="F220" s="2"/>
      <c r="G220" s="2"/>
    </row>
    <row r="224" spans="1:7">
      <c r="A224" s="2" t="s">
        <v>29</v>
      </c>
      <c r="B224" s="2"/>
      <c r="C224" s="2"/>
      <c r="D224" s="2"/>
      <c r="E224" s="2" t="s">
        <v>29</v>
      </c>
      <c r="F224" s="2"/>
      <c r="G224" s="2"/>
    </row>
    <row r="225" spans="1:7">
      <c r="A225" s="2" t="s">
        <v>30</v>
      </c>
      <c r="B225" s="2"/>
      <c r="C225" s="2"/>
      <c r="D225" s="2"/>
      <c r="E225" s="2" t="s">
        <v>31</v>
      </c>
      <c r="F225" s="2"/>
      <c r="G225" s="2"/>
    </row>
    <row r="229" spans="1:7">
      <c r="A229" s="2" t="s">
        <v>29</v>
      </c>
      <c r="B229" s="2"/>
      <c r="C229" s="2"/>
      <c r="D229" s="2"/>
      <c r="E229" s="2" t="s">
        <v>29</v>
      </c>
      <c r="F229" s="2"/>
      <c r="G229" s="2"/>
    </row>
    <row r="230" spans="1:7">
      <c r="A230" s="2" t="s">
        <v>32</v>
      </c>
      <c r="B230" s="2"/>
      <c r="C230" s="2"/>
      <c r="D230" s="2"/>
      <c r="E230" s="2" t="s">
        <v>33</v>
      </c>
      <c r="F230" s="2"/>
      <c r="G230" s="2"/>
    </row>
    <row r="234" spans="1:7">
      <c r="A234" s="2" t="s">
        <v>29</v>
      </c>
      <c r="B234" s="2"/>
      <c r="C234" s="2"/>
      <c r="D234" s="2"/>
      <c r="E234" s="2"/>
      <c r="F234" s="2"/>
      <c r="G234" s="2"/>
    </row>
    <row r="235" spans="1:7">
      <c r="A235" s="2" t="s">
        <v>32</v>
      </c>
      <c r="B235" s="2"/>
      <c r="C235" s="2"/>
      <c r="D235" s="2"/>
      <c r="E235" s="2"/>
      <c r="F235" s="2"/>
      <c r="G235" s="2"/>
    </row>
  </sheetData>
  <mergeCells count="6">
    <mergeCell ref="A32:G32"/>
    <mergeCell ref="A24:C24"/>
    <mergeCell ref="E24:G24"/>
    <mergeCell ref="E25:G25"/>
    <mergeCell ref="A25:C25"/>
    <mergeCell ref="A31:G31"/>
  </mergeCells>
  <phoneticPr fontId="0" type="noConversion"/>
  <printOptions horizontalCentered="1"/>
  <pageMargins left="0" right="0" top="0.511811023622047" bottom="0.98425196850393704" header="0.511811023622047" footer="0.511811023622047"/>
  <pageSetup orientation="landscape" horizontalDpi="36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5"/>
  <sheetViews>
    <sheetView showGridLines="0" tabSelected="1" workbookViewId="0">
      <selection activeCell="F10" sqref="F10"/>
    </sheetView>
  </sheetViews>
  <sheetFormatPr defaultColWidth="9.140625" defaultRowHeight="12.75"/>
  <cols>
    <col min="1" max="1" width="35.5703125" customWidth="1"/>
    <col min="2" max="3" width="11.28515625" customWidth="1"/>
    <col min="4" max="4" width="2.7109375" customWidth="1"/>
    <col min="5" max="5" width="35.7109375" customWidth="1"/>
    <col min="6" max="7" width="11.28515625" customWidth="1"/>
    <col min="8" max="8" width="9.5703125" bestFit="1" customWidth="1"/>
    <col min="9" max="256" width="11.42578125" customWidth="1"/>
  </cols>
  <sheetData>
    <row r="1" spans="1:14" ht="18">
      <c r="A1" s="4" t="s">
        <v>0</v>
      </c>
      <c r="B1" s="2"/>
      <c r="C1" s="2"/>
      <c r="D1" s="2"/>
      <c r="E1" s="2"/>
      <c r="F1" s="2"/>
      <c r="G1" s="2"/>
    </row>
    <row r="2" spans="1:14">
      <c r="A2" s="2" t="s">
        <v>34</v>
      </c>
      <c r="B2" s="2"/>
      <c r="C2" s="2"/>
      <c r="D2" s="2"/>
      <c r="E2" s="2"/>
      <c r="F2" s="2"/>
      <c r="G2" s="2"/>
    </row>
    <row r="3" spans="1:14">
      <c r="A3" s="2" t="s">
        <v>2</v>
      </c>
      <c r="B3" s="2"/>
      <c r="C3" s="2"/>
      <c r="D3" s="2"/>
      <c r="E3" s="2"/>
      <c r="F3" s="2"/>
      <c r="G3" s="2"/>
    </row>
    <row r="6" spans="1:14">
      <c r="A6" s="5" t="s">
        <v>3</v>
      </c>
      <c r="B6" s="5"/>
      <c r="C6" s="5"/>
      <c r="D6" s="6"/>
      <c r="E6" s="5" t="s">
        <v>4</v>
      </c>
      <c r="F6" s="5"/>
      <c r="G6" s="5"/>
    </row>
    <row r="7" spans="1:14" s="1" customFormat="1" ht="11.25">
      <c r="A7" s="7" t="s">
        <v>5</v>
      </c>
      <c r="B7" s="10"/>
      <c r="C7" s="11">
        <f>+SUM(B8:B11)</f>
        <v>80068.799999999988</v>
      </c>
      <c r="E7" s="7" t="s">
        <v>5</v>
      </c>
      <c r="F7" s="10"/>
      <c r="G7" s="11">
        <f>+SUM(F8:F10)</f>
        <v>75642.37999999999</v>
      </c>
      <c r="L7" s="14"/>
    </row>
    <row r="8" spans="1:14" s="1" customFormat="1" ht="11.25">
      <c r="A8" s="1" t="s">
        <v>6</v>
      </c>
      <c r="B8" s="11">
        <v>1581.79</v>
      </c>
      <c r="C8" s="10"/>
      <c r="E8" s="1" t="s">
        <v>7</v>
      </c>
      <c r="F8" s="11">
        <v>75000</v>
      </c>
      <c r="G8" s="10"/>
    </row>
    <row r="9" spans="1:14" s="1" customFormat="1" ht="11.25">
      <c r="A9" s="1" t="s">
        <v>8</v>
      </c>
      <c r="B9" s="11">
        <v>75267.09</v>
      </c>
      <c r="C9" s="10"/>
      <c r="E9" s="1" t="s">
        <v>9</v>
      </c>
      <c r="F9" s="15">
        <v>487.51</v>
      </c>
      <c r="G9" s="10"/>
    </row>
    <row r="10" spans="1:14" s="1" customFormat="1" ht="11.25">
      <c r="A10" s="1" t="s">
        <v>10</v>
      </c>
      <c r="B10" s="15">
        <v>1589.22</v>
      </c>
      <c r="C10" s="10"/>
      <c r="E10" s="1" t="s">
        <v>35</v>
      </c>
      <c r="F10" s="19">
        <v>154.87</v>
      </c>
      <c r="N10" s="14"/>
    </row>
    <row r="11" spans="1:14" s="1" customFormat="1" ht="13.5">
      <c r="A11" s="1" t="s">
        <v>12</v>
      </c>
      <c r="B11" s="16">
        <v>1630.7</v>
      </c>
      <c r="E11" s="7" t="s">
        <v>11</v>
      </c>
      <c r="F11" s="10"/>
      <c r="G11" s="15">
        <f>+SUM(F12:F16)</f>
        <v>4426.4199999999964</v>
      </c>
      <c r="N11" s="14"/>
    </row>
    <row r="12" spans="1:14" s="1" customFormat="1" ht="11.25">
      <c r="A12" s="7" t="s">
        <v>14</v>
      </c>
      <c r="B12" s="10"/>
      <c r="C12" s="11">
        <f>+SUM(B13:B14)</f>
        <v>0</v>
      </c>
      <c r="E12" s="1" t="s">
        <v>13</v>
      </c>
      <c r="F12" s="15">
        <v>2000</v>
      </c>
      <c r="L12" s="14"/>
    </row>
    <row r="13" spans="1:14" s="1" customFormat="1" ht="11.25">
      <c r="A13" s="1" t="s">
        <v>16</v>
      </c>
      <c r="B13" s="17">
        <v>1945.2</v>
      </c>
      <c r="C13" s="10"/>
      <c r="E13" s="1" t="s">
        <v>15</v>
      </c>
      <c r="F13" s="15">
        <v>400</v>
      </c>
      <c r="G13" s="10"/>
      <c r="N13" s="14"/>
    </row>
    <row r="14" spans="1:14" s="1" customFormat="1" ht="11.25">
      <c r="A14" s="1" t="s">
        <v>18</v>
      </c>
      <c r="B14" s="18">
        <v>-1945.2</v>
      </c>
      <c r="C14" s="10"/>
      <c r="E14" s="1" t="s">
        <v>17</v>
      </c>
      <c r="F14" s="15">
        <v>48469.89</v>
      </c>
      <c r="G14" s="10"/>
      <c r="L14" s="14"/>
      <c r="N14" s="14"/>
    </row>
    <row r="15" spans="1:14" s="1" customFormat="1" ht="11.25">
      <c r="B15" s="10"/>
      <c r="C15" s="10"/>
      <c r="E15" s="1" t="s">
        <v>19</v>
      </c>
      <c r="F15" s="15">
        <v>-42895.37</v>
      </c>
      <c r="G15" s="10"/>
      <c r="L15" s="14"/>
    </row>
    <row r="16" spans="1:14" s="1" customFormat="1" ht="11.25">
      <c r="B16" s="10"/>
      <c r="C16" s="10"/>
      <c r="E16" s="7" t="s">
        <v>36</v>
      </c>
      <c r="F16" s="21">
        <v>-3548.1</v>
      </c>
      <c r="G16" s="10"/>
    </row>
    <row r="17" spans="1:8" s="1" customFormat="1" ht="11.25">
      <c r="B17" s="10"/>
      <c r="C17" s="10"/>
      <c r="E17" s="7"/>
      <c r="F17" s="13"/>
      <c r="G17" s="10"/>
    </row>
    <row r="18" spans="1:8" s="1" customFormat="1" ht="11.25">
      <c r="B18" s="10"/>
      <c r="C18" s="10"/>
      <c r="F18" s="10"/>
      <c r="G18" s="10"/>
    </row>
    <row r="19" spans="1:8" s="1" customFormat="1" ht="12" thickBot="1">
      <c r="A19" s="8" t="s">
        <v>21</v>
      </c>
      <c r="B19" s="10"/>
      <c r="C19" s="12">
        <f>+SUM(C7:C18)</f>
        <v>80068.799999999988</v>
      </c>
      <c r="E19" s="8" t="s">
        <v>22</v>
      </c>
      <c r="F19" s="10"/>
      <c r="G19" s="12">
        <f>+SUM(G7:G18)</f>
        <v>80068.799999999988</v>
      </c>
      <c r="H19" s="9">
        <f>+C19-G19</f>
        <v>0</v>
      </c>
    </row>
    <row r="20" spans="1:8" s="1" customFormat="1" ht="12" thickTop="1"/>
    <row r="21" spans="1:8" s="1" customFormat="1" ht="11.25"/>
    <row r="22" spans="1:8" s="1" customFormat="1" ht="11.25"/>
    <row r="23" spans="1:8" s="1" customFormat="1" ht="11.25"/>
    <row r="24" spans="1:8" s="1" customFormat="1" ht="11.25">
      <c r="A24" s="20" t="s">
        <v>23</v>
      </c>
      <c r="B24" s="20"/>
      <c r="C24" s="20"/>
      <c r="E24" s="20" t="s">
        <v>24</v>
      </c>
      <c r="F24" s="20"/>
      <c r="G24" s="20"/>
    </row>
    <row r="25" spans="1:8" s="1" customFormat="1" ht="11.25">
      <c r="A25" s="20" t="s">
        <v>25</v>
      </c>
      <c r="B25" s="20"/>
      <c r="C25" s="20"/>
      <c r="E25" s="20" t="s">
        <v>26</v>
      </c>
      <c r="F25" s="20"/>
      <c r="G25" s="20"/>
    </row>
    <row r="26" spans="1:8" s="1" customFormat="1" ht="11.25"/>
    <row r="27" spans="1:8" s="1" customFormat="1" ht="11.25"/>
    <row r="28" spans="1:8" s="1" customFormat="1" ht="11.25"/>
    <row r="29" spans="1:8" s="1" customFormat="1" ht="11.25"/>
    <row r="30" spans="1:8" s="1" customFormat="1" ht="11.25"/>
    <row r="31" spans="1:8" s="1" customFormat="1" ht="11.25">
      <c r="A31" s="20" t="s">
        <v>27</v>
      </c>
      <c r="B31" s="20"/>
      <c r="C31" s="20"/>
      <c r="D31" s="20"/>
      <c r="E31" s="20"/>
      <c r="F31" s="20"/>
      <c r="G31" s="20"/>
    </row>
    <row r="32" spans="1:8" s="1" customFormat="1" ht="11.25">
      <c r="A32" s="20" t="s">
        <v>28</v>
      </c>
      <c r="B32" s="20"/>
      <c r="C32" s="20"/>
      <c r="D32" s="20"/>
      <c r="E32" s="20"/>
      <c r="F32" s="20"/>
      <c r="G32" s="20"/>
    </row>
    <row r="33" s="1" customFormat="1" ht="11.25"/>
    <row r="34" s="1" customFormat="1" ht="11.25"/>
    <row r="35" s="1" customFormat="1" ht="11.25"/>
    <row r="36" s="1" customFormat="1" ht="11.25"/>
    <row r="37" s="1" customFormat="1" ht="11.25"/>
    <row r="38" s="1" customFormat="1" ht="11.25"/>
    <row r="39" s="1" customFormat="1" ht="11.25"/>
    <row r="40" s="1" customFormat="1" ht="11.25"/>
    <row r="41" s="1" customFormat="1" ht="11.25"/>
    <row r="42" s="1" customFormat="1" ht="11.25"/>
    <row r="43" s="1" customFormat="1" ht="11.25"/>
    <row r="44" s="1" customFormat="1" ht="11.25"/>
    <row r="45" s="1" customFormat="1" ht="11.25"/>
    <row r="46" s="1" customFormat="1" ht="11.25"/>
    <row r="47" s="1" customFormat="1" ht="11.25"/>
    <row r="48" s="1" customFormat="1" ht="11.25"/>
    <row r="49" s="1" customFormat="1" ht="11.25"/>
    <row r="50" s="1" customFormat="1" ht="11.25"/>
    <row r="51" s="1" customFormat="1" ht="11.25"/>
    <row r="52" s="1" customFormat="1" ht="11.25"/>
    <row r="53" s="1" customFormat="1" ht="11.25"/>
    <row r="54" s="1" customFormat="1" ht="11.25"/>
    <row r="55" s="1" customFormat="1" ht="11.25"/>
    <row r="56" s="1" customFormat="1" ht="11.25"/>
    <row r="57" s="1" customFormat="1" ht="11.25"/>
    <row r="58" s="1" customFormat="1" ht="11.25"/>
    <row r="59" s="1" customFormat="1" ht="11.25"/>
    <row r="60" s="1" customFormat="1" ht="11.25"/>
    <row r="61" s="1" customFormat="1" ht="11.25"/>
    <row r="62" s="1" customFormat="1" ht="11.25"/>
    <row r="63" s="1" customFormat="1" ht="11.25"/>
    <row r="64" s="1" customFormat="1" ht="11.25"/>
    <row r="65" s="1" customFormat="1" ht="11.25"/>
    <row r="66" s="1" customFormat="1" ht="11.25"/>
    <row r="67" s="1" customFormat="1" ht="11.25"/>
    <row r="68" s="1" customFormat="1" ht="11.25"/>
    <row r="69" s="1" customFormat="1" ht="11.25"/>
    <row r="70" s="1" customFormat="1" ht="11.25"/>
    <row r="71" s="1" customFormat="1" ht="11.25"/>
    <row r="72" s="1" customFormat="1" ht="11.25"/>
    <row r="73" s="1" customFormat="1" ht="11.25"/>
    <row r="74" s="1" customFormat="1" ht="11.25"/>
    <row r="75" s="1" customFormat="1" ht="11.25"/>
    <row r="76" s="1" customFormat="1" ht="11.25"/>
    <row r="77" s="1" customFormat="1" ht="11.25"/>
    <row r="78" s="1" customFormat="1" ht="11.25"/>
    <row r="79" s="1" customFormat="1" ht="11.25"/>
    <row r="80" s="1" customFormat="1" ht="11.25"/>
    <row r="81" s="1" customFormat="1" ht="11.25"/>
    <row r="82" s="1" customFormat="1" ht="11.25"/>
    <row r="83" s="1" customFormat="1" ht="11.25"/>
    <row r="84" s="1" customFormat="1" ht="11.25"/>
    <row r="85" s="1" customFormat="1" ht="11.25"/>
    <row r="86" s="1" customFormat="1" ht="11.25"/>
    <row r="87" s="1" customFormat="1" ht="11.25"/>
    <row r="88" s="1" customFormat="1" ht="11.25"/>
    <row r="89" s="1" customFormat="1" ht="11.25"/>
    <row r="90" s="1" customFormat="1" ht="11.25"/>
    <row r="91" s="1" customFormat="1" ht="11.25"/>
    <row r="92" s="1" customFormat="1" ht="11.25"/>
    <row r="93" s="1" customFormat="1" ht="11.25"/>
    <row r="94" s="1" customFormat="1" ht="11.25"/>
    <row r="95" s="1" customFormat="1" ht="11.25"/>
    <row r="96" s="1" customFormat="1" ht="11.25"/>
    <row r="97" s="1" customFormat="1" ht="11.25"/>
    <row r="98" s="1" customFormat="1" ht="11.25"/>
    <row r="99" s="1" customFormat="1" ht="11.25"/>
    <row r="100" s="1" customFormat="1" ht="11.25"/>
    <row r="101" s="1" customFormat="1" ht="11.25"/>
    <row r="102" s="1" customFormat="1" ht="11.25"/>
    <row r="103" s="1" customFormat="1" ht="11.25"/>
    <row r="104" s="1" customFormat="1" ht="11.25"/>
    <row r="105" s="1" customFormat="1" ht="11.25"/>
    <row r="106" s="1" customFormat="1" ht="11.25"/>
    <row r="107" s="1" customFormat="1" ht="11.25"/>
    <row r="108" s="1" customFormat="1" ht="11.25"/>
    <row r="109" s="1" customFormat="1" ht="11.25"/>
    <row r="110" s="1" customFormat="1" ht="11.25"/>
    <row r="111" s="1" customFormat="1" ht="11.25"/>
    <row r="112" s="1" customFormat="1" ht="11.25"/>
    <row r="113" s="1" customFormat="1" ht="11.25"/>
    <row r="114" s="1" customFormat="1" ht="11.25"/>
    <row r="115" s="1" customFormat="1" ht="11.25"/>
    <row r="116" s="1" customFormat="1" ht="11.25"/>
    <row r="117" s="1" customFormat="1" ht="11.25"/>
    <row r="118" s="1" customFormat="1" ht="11.25"/>
    <row r="119" s="1" customFormat="1" ht="11.25"/>
    <row r="120" s="1" customFormat="1" ht="11.25"/>
    <row r="121" s="1" customFormat="1" ht="11.25"/>
    <row r="122" s="1" customFormat="1" ht="11.25"/>
    <row r="123" s="1" customFormat="1" ht="11.25"/>
    <row r="124" s="1" customFormat="1" ht="11.25"/>
    <row r="125" s="1" customFormat="1" ht="11.25"/>
    <row r="126" s="1" customFormat="1" ht="11.25"/>
    <row r="127" s="1" customFormat="1" ht="11.25"/>
    <row r="128" s="1" customFormat="1" ht="11.25"/>
    <row r="129" s="1" customFormat="1" ht="11.25"/>
    <row r="130" s="1" customFormat="1" ht="11.25"/>
    <row r="131" s="1" customFormat="1" ht="11.25"/>
    <row r="132" s="1" customFormat="1" ht="11.25"/>
    <row r="133" s="1" customFormat="1" ht="11.25"/>
    <row r="134" s="1" customFormat="1" ht="11.25"/>
    <row r="135" s="1" customFormat="1" ht="11.25"/>
    <row r="136" s="1" customFormat="1" ht="11.25"/>
    <row r="137" s="1" customFormat="1" ht="11.25"/>
    <row r="138" s="1" customFormat="1" ht="11.25"/>
    <row r="139" s="1" customFormat="1" ht="11.25"/>
    <row r="140" s="1" customFormat="1" ht="11.25"/>
    <row r="141" s="1" customFormat="1" ht="11.25"/>
    <row r="142" s="1" customFormat="1" ht="11.25"/>
    <row r="143" s="1" customFormat="1" ht="11.25"/>
    <row r="144" s="1" customFormat="1" ht="11.25"/>
    <row r="145" s="1" customFormat="1" ht="11.25"/>
    <row r="146" s="1" customFormat="1" ht="11.25"/>
    <row r="147" s="1" customFormat="1" ht="11.25"/>
    <row r="148" s="1" customFormat="1" ht="11.25"/>
    <row r="149" s="1" customFormat="1" ht="11.25"/>
    <row r="150" s="1" customFormat="1" ht="11.25"/>
    <row r="151" s="1" customFormat="1" ht="11.25"/>
    <row r="152" s="1" customFormat="1" ht="11.25"/>
    <row r="153" s="1" customFormat="1" ht="11.25"/>
    <row r="154" s="1" customFormat="1" ht="11.25"/>
    <row r="155" s="1" customFormat="1" ht="11.25"/>
    <row r="156" s="1" customFormat="1" ht="11.25"/>
    <row r="157" s="1" customFormat="1" ht="11.25"/>
    <row r="158" s="1" customFormat="1" ht="11.25"/>
    <row r="159" s="1" customFormat="1" ht="11.25"/>
    <row r="160" s="1" customFormat="1" ht="11.25"/>
    <row r="161" s="1" customFormat="1" ht="11.25"/>
    <row r="162" s="1" customFormat="1" ht="11.25"/>
    <row r="163" s="1" customFormat="1" ht="11.25"/>
    <row r="164" s="1" customFormat="1" ht="11.25"/>
    <row r="165" s="1" customFormat="1" ht="11.25"/>
    <row r="166" s="1" customFormat="1" ht="11.25"/>
    <row r="167" s="1" customFormat="1" ht="11.25"/>
    <row r="168" s="1" customFormat="1" ht="11.25"/>
    <row r="169" s="1" customFormat="1" ht="11.25"/>
    <row r="170" s="1" customFormat="1" ht="11.25"/>
    <row r="171" s="1" customFormat="1" ht="11.25"/>
    <row r="172" s="1" customFormat="1" ht="11.25"/>
    <row r="173" s="1" customFormat="1" ht="11.25"/>
    <row r="174" s="1" customFormat="1" ht="11.25"/>
    <row r="175" s="1" customFormat="1" ht="11.25"/>
    <row r="176" s="1" customFormat="1" ht="11.25"/>
    <row r="177" s="1" customFormat="1" ht="11.25"/>
    <row r="178" s="1" customFormat="1" ht="11.25"/>
    <row r="179" s="1" customFormat="1" ht="11.25"/>
    <row r="180" s="1" customFormat="1" ht="11.25"/>
    <row r="181" s="1" customFormat="1" ht="11.25"/>
    <row r="182" s="1" customFormat="1" ht="11.25"/>
    <row r="183" s="1" customFormat="1" ht="11.25"/>
    <row r="184" s="1" customFormat="1" ht="11.25"/>
    <row r="185" s="1" customFormat="1" ht="11.25"/>
    <row r="186" s="1" customFormat="1" ht="11.25"/>
    <row r="187" s="1" customFormat="1" ht="11.25"/>
    <row r="188" s="1" customFormat="1" ht="11.25"/>
    <row r="189" s="1" customFormat="1" ht="11.25"/>
    <row r="190" s="1" customFormat="1" ht="11.25"/>
    <row r="191" s="1" customFormat="1" ht="11.25"/>
    <row r="192" s="1" customFormat="1" ht="11.25"/>
    <row r="193" spans="1:7" s="1" customFormat="1" ht="11.25"/>
    <row r="194" spans="1:7" s="1" customFormat="1" ht="11.25"/>
    <row r="195" spans="1:7" s="1" customFormat="1" ht="11.25"/>
    <row r="196" spans="1:7" s="1" customFormat="1" ht="11.25"/>
    <row r="197" spans="1:7" s="1" customFormat="1" ht="11.25"/>
    <row r="198" spans="1:7" s="1" customFormat="1" ht="11.25"/>
    <row r="199" spans="1:7" s="1" customFormat="1" ht="12" thickBot="1">
      <c r="A199" s="3"/>
    </row>
    <row r="200" spans="1:7" ht="13.5" thickTop="1"/>
    <row r="204" spans="1:7">
      <c r="A204" s="2" t="s">
        <v>29</v>
      </c>
      <c r="B204" s="2"/>
      <c r="C204" s="2"/>
      <c r="D204" s="2"/>
      <c r="E204" s="2" t="s">
        <v>29</v>
      </c>
      <c r="F204" s="2"/>
      <c r="G204" s="2"/>
    </row>
    <row r="205" spans="1:7">
      <c r="A205" s="2" t="s">
        <v>30</v>
      </c>
      <c r="B205" s="2"/>
      <c r="C205" s="2"/>
      <c r="D205" s="2"/>
      <c r="E205" s="2" t="s">
        <v>31</v>
      </c>
      <c r="F205" s="2"/>
      <c r="G205" s="2"/>
    </row>
    <row r="209" spans="1:7">
      <c r="A209" s="2" t="s">
        <v>29</v>
      </c>
      <c r="B209" s="2"/>
      <c r="C209" s="2"/>
      <c r="D209" s="2"/>
      <c r="E209" s="2"/>
      <c r="F209" s="2"/>
      <c r="G209" s="2"/>
    </row>
    <row r="210" spans="1:7">
      <c r="A210" s="2" t="s">
        <v>32</v>
      </c>
      <c r="B210" s="2"/>
      <c r="C210" s="2"/>
      <c r="D210" s="2"/>
      <c r="E210" s="2"/>
      <c r="F210" s="2"/>
      <c r="G210" s="2"/>
    </row>
    <row r="214" spans="1:7">
      <c r="A214" s="2" t="s">
        <v>29</v>
      </c>
      <c r="B214" s="2"/>
      <c r="C214" s="2"/>
      <c r="D214" s="2"/>
      <c r="E214" s="2" t="s">
        <v>29</v>
      </c>
      <c r="F214" s="2"/>
      <c r="G214" s="2"/>
    </row>
    <row r="215" spans="1:7">
      <c r="A215" s="2" t="s">
        <v>30</v>
      </c>
      <c r="B215" s="2"/>
      <c r="C215" s="2"/>
      <c r="D215" s="2"/>
      <c r="E215" s="2" t="s">
        <v>31</v>
      </c>
      <c r="F215" s="2"/>
      <c r="G215" s="2"/>
    </row>
    <row r="219" spans="1:7">
      <c r="A219" s="2" t="s">
        <v>29</v>
      </c>
      <c r="B219" s="2"/>
      <c r="C219" s="2"/>
      <c r="D219" s="2"/>
      <c r="E219" s="2" t="s">
        <v>29</v>
      </c>
      <c r="F219" s="2"/>
      <c r="G219" s="2"/>
    </row>
    <row r="220" spans="1:7">
      <c r="A220" s="2" t="s">
        <v>32</v>
      </c>
      <c r="B220" s="2"/>
      <c r="C220" s="2"/>
      <c r="D220" s="2"/>
      <c r="E220" s="2" t="s">
        <v>33</v>
      </c>
      <c r="F220" s="2"/>
      <c r="G220" s="2"/>
    </row>
    <row r="224" spans="1:7">
      <c r="A224" s="2" t="s">
        <v>29</v>
      </c>
      <c r="B224" s="2"/>
      <c r="C224" s="2"/>
      <c r="D224" s="2"/>
      <c r="E224" s="2" t="s">
        <v>29</v>
      </c>
      <c r="F224" s="2"/>
      <c r="G224" s="2"/>
    </row>
    <row r="225" spans="1:7">
      <c r="A225" s="2" t="s">
        <v>30</v>
      </c>
      <c r="B225" s="2"/>
      <c r="C225" s="2"/>
      <c r="D225" s="2"/>
      <c r="E225" s="2" t="s">
        <v>31</v>
      </c>
      <c r="F225" s="2"/>
      <c r="G225" s="2"/>
    </row>
    <row r="229" spans="1:7">
      <c r="A229" s="2" t="s">
        <v>29</v>
      </c>
      <c r="B229" s="2"/>
      <c r="C229" s="2"/>
      <c r="D229" s="2"/>
      <c r="E229" s="2" t="s">
        <v>29</v>
      </c>
      <c r="F229" s="2"/>
      <c r="G229" s="2"/>
    </row>
    <row r="230" spans="1:7">
      <c r="A230" s="2" t="s">
        <v>32</v>
      </c>
      <c r="B230" s="2"/>
      <c r="C230" s="2"/>
      <c r="D230" s="2"/>
      <c r="E230" s="2" t="s">
        <v>33</v>
      </c>
      <c r="F230" s="2"/>
      <c r="G230" s="2"/>
    </row>
    <row r="234" spans="1:7">
      <c r="A234" s="2" t="s">
        <v>29</v>
      </c>
      <c r="B234" s="2"/>
      <c r="C234" s="2"/>
      <c r="D234" s="2"/>
      <c r="E234" s="2"/>
      <c r="F234" s="2"/>
      <c r="G234" s="2"/>
    </row>
    <row r="235" spans="1:7">
      <c r="A235" s="2" t="s">
        <v>32</v>
      </c>
      <c r="B235" s="2"/>
      <c r="C235" s="2"/>
      <c r="D235" s="2"/>
      <c r="E235" s="2"/>
      <c r="F235" s="2"/>
      <c r="G235" s="2"/>
    </row>
  </sheetData>
  <mergeCells count="6">
    <mergeCell ref="A32:G32"/>
    <mergeCell ref="A24:C24"/>
    <mergeCell ref="E24:G24"/>
    <mergeCell ref="A25:C25"/>
    <mergeCell ref="E25:G25"/>
    <mergeCell ref="A31:G31"/>
  </mergeCells>
  <printOptions horizontalCentered="1"/>
  <pageMargins left="0" right="0" top="0.511811023622047" bottom="0.98425196850393704" header="0.511811023622047" footer="0.511811023622047"/>
  <pageSetup orientation="landscape" horizontalDpi="360" verticalDpi="18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f273-b714-401b-905f-53481aee3273" xsi:nil="true"/>
    <lcf76f155ced4ddcb4097134ff3c332f xmlns="8a2bc7ff-4258-4d5c-9304-6b26cb5a4e0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F46416659BA74987BCE302007A318E" ma:contentTypeVersion="15" ma:contentTypeDescription="Crear nuevo documento." ma:contentTypeScope="" ma:versionID="8b35513354af63e986345b5409b9f70e">
  <xsd:schema xmlns:xsd="http://www.w3.org/2001/XMLSchema" xmlns:xs="http://www.w3.org/2001/XMLSchema" xmlns:p="http://schemas.microsoft.com/office/2006/metadata/properties" xmlns:ns2="2ae7f273-b714-401b-905f-53481aee3273" xmlns:ns3="8a2bc7ff-4258-4d5c-9304-6b26cb5a4e07" targetNamespace="http://schemas.microsoft.com/office/2006/metadata/properties" ma:root="true" ma:fieldsID="4d8dd5c07f5e85c62b4b08b15642a980" ns2:_="" ns3:_="">
    <xsd:import namespace="2ae7f273-b714-401b-905f-53481aee3273"/>
    <xsd:import namespace="8a2bc7ff-4258-4d5c-9304-6b26cb5a4e0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f273-b714-401b-905f-53481aee32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91734ea-545c-4c2b-8aaf-f4606096c0dc}" ma:internalName="TaxCatchAll" ma:showField="CatchAllData" ma:web="2ae7f273-b714-401b-905f-53481aee32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2bc7ff-4258-4d5c-9304-6b26cb5a4e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400971d-75bb-4dae-a32f-3edd0b98a9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26EAB0-8234-497B-AD1A-C1680456B61F}"/>
</file>

<file path=customXml/itemProps2.xml><?xml version="1.0" encoding="utf-8"?>
<ds:datastoreItem xmlns:ds="http://schemas.openxmlformats.org/officeDocument/2006/customXml" ds:itemID="{1F9F406B-FBC5-40C9-93E9-37F939C92206}"/>
</file>

<file path=customXml/itemProps3.xml><?xml version="1.0" encoding="utf-8"?>
<ds:datastoreItem xmlns:ds="http://schemas.openxmlformats.org/officeDocument/2006/customXml" ds:itemID="{0F2E670F-AB4A-4358-9F90-6A7242FCEE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Sistemas y Servicios de Informática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Elmer W. Rodríguez</dc:creator>
  <cp:keywords/>
  <dc:description/>
  <cp:lastModifiedBy>Ronny Chávez</cp:lastModifiedBy>
  <cp:revision/>
  <dcterms:created xsi:type="dcterms:W3CDTF">2001-09-18T06:10:23Z</dcterms:created>
  <dcterms:modified xsi:type="dcterms:W3CDTF">2026-04-26T23:52:01Z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0x010100F3F46416659BA74987BCE302007A318E</vt:lpwstr>
  </property>
  <property fmtid="{D5CDD505-2E9C-101B-9397-08002B2CF9AE}" pid="3" name="MediaServiceImageTags">
    <vt:lpwstr/>
  </property>
</Properties>
</file>