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24226"/>
  <xr:revisionPtr revIDLastSave="1" documentId="11_1A398735973007349711D41B5556CD4585C322E8" xr6:coauthVersionLast="47" xr6:coauthVersionMax="47" xr10:uidLastSave="{BA54C543-EAD0-47F2-B30B-40EED61466D2}"/>
  <bookViews>
    <workbookView xWindow="-120" yWindow="-120" windowWidth="20730" windowHeight="11040" xr2:uid="{00000000-000D-0000-FFFF-FFFF00000000}"/>
  </bookViews>
  <sheets>
    <sheet name="Flujo 2025" sheetId="1" r:id="rId1"/>
    <sheet name="HOJA DE TRABAJO" sheetId="2" r:id="rId2"/>
    <sheet name="FE 2017-2016" sheetId="4" state="hidden" r:id="rId3"/>
    <sheet name="Hoja3" sheetId="3" state="hidden" r:id="rId4"/>
  </sheets>
  <definedNames>
    <definedName name="_xlnm.Print_Area" localSheetId="2">'FE 2017-2016'!$B$1:$C$49</definedName>
    <definedName name="_xlnm.Print_Area" localSheetId="0">'Flujo 2025'!$B$1:$C$50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" l="1"/>
  <c r="C27" i="1" s="1"/>
  <c r="F24" i="2"/>
  <c r="C21" i="4" s="1"/>
  <c r="D32" i="4"/>
  <c r="D28" i="4"/>
  <c r="D23" i="4"/>
  <c r="D34" i="4" s="1"/>
  <c r="D36" i="4" s="1"/>
  <c r="C32" i="4"/>
  <c r="F31" i="2"/>
  <c r="C26" i="1"/>
  <c r="F22" i="2"/>
  <c r="C20" i="4" s="1"/>
  <c r="F5" i="2"/>
  <c r="C10" i="1" s="1"/>
  <c r="C33" i="1"/>
  <c r="F7" i="2"/>
  <c r="C13" i="4" s="1"/>
  <c r="F35" i="2"/>
  <c r="F13" i="2"/>
  <c r="C16" i="4" s="1"/>
  <c r="F26" i="2"/>
  <c r="C22" i="1" s="1"/>
  <c r="F20" i="2"/>
  <c r="C19" i="4" s="1"/>
  <c r="F18" i="2"/>
  <c r="C18" i="4" s="1"/>
  <c r="F15" i="2"/>
  <c r="C17" i="4" s="1"/>
  <c r="F11" i="2"/>
  <c r="C15" i="4" s="1"/>
  <c r="F9" i="2"/>
  <c r="C14" i="4" s="1"/>
  <c r="F28" i="2"/>
  <c r="C27" i="4" s="1"/>
  <c r="C11" i="1"/>
  <c r="C26" i="4"/>
  <c r="C28" i="4" s="1"/>
  <c r="C10" i="4"/>
  <c r="C14" i="1"/>
  <c r="C19" i="1"/>
  <c r="C18" i="1"/>
  <c r="C16" i="1"/>
  <c r="C21" i="1" l="1"/>
  <c r="C20" i="1"/>
  <c r="C28" i="1"/>
  <c r="C22" i="4"/>
  <c r="C23" i="4" s="1"/>
  <c r="C34" i="4" s="1"/>
  <c r="C36" i="4" s="1"/>
  <c r="C29" i="1"/>
  <c r="C15" i="1"/>
  <c r="C13" i="1"/>
  <c r="C17" i="1"/>
  <c r="C23" i="1" l="1"/>
  <c r="C35" i="1" s="1"/>
  <c r="C37" i="1" s="1"/>
  <c r="H47" i="1" s="1"/>
</calcChain>
</file>

<file path=xl/sharedStrings.xml><?xml version="1.0" encoding="utf-8"?>
<sst xmlns="http://schemas.openxmlformats.org/spreadsheetml/2006/main" count="128" uniqueCount="73">
  <si>
    <t>BENGALA AUDIOVISUAL, S.A. DE C.V.</t>
  </si>
  <si>
    <t>Estado Flujo de Efectivo</t>
  </si>
  <si>
    <t>Estados de Flujos de Efectivo</t>
  </si>
  <si>
    <t>Informa sobre los movimientos de efectivo y sus equivalentes</t>
  </si>
  <si>
    <t>Del 1 enero al 31 de Diciembre de 2025</t>
  </si>
  <si>
    <t>(Valores expresados en dólares de los Estados Unidos de América)</t>
  </si>
  <si>
    <t>Flujo de efectivo por actividades de operación:</t>
  </si>
  <si>
    <t>Excedente (Deficit) de ingresos sobre Ejercicio 2025</t>
  </si>
  <si>
    <t xml:space="preserve">&lt;--- </t>
  </si>
  <si>
    <t>Inicia con lo que refleja el Estado de Resultado</t>
  </si>
  <si>
    <t>Ajustes para conciliar el excedente de ingresos sobre gastos, con el efectivo neto provisto por las operaciones:</t>
  </si>
  <si>
    <t>Depreciación</t>
  </si>
  <si>
    <t>Le sumamos el incremento de la depreciacion al resultado porque este no representa salida de dinero</t>
  </si>
  <si>
    <t xml:space="preserve">Retiro neto de activos </t>
  </si>
  <si>
    <t>Movimiento en el capital de trabajo:</t>
  </si>
  <si>
    <t>Disminución (aumento) en cuentas por cobrar</t>
  </si>
  <si>
    <t>Disminución (aumento) en inventario</t>
  </si>
  <si>
    <t>Disminución (aumento) pagos anticipados</t>
  </si>
  <si>
    <t>Disminución (aumento) Iva Credito</t>
  </si>
  <si>
    <t>Aumento (disminución) en cuentas por pagar y gastos  acumulados</t>
  </si>
  <si>
    <t>Le sumamos aquello que no representa salida dinero de efectivo</t>
  </si>
  <si>
    <t>Aumento (disminución) en en Deuda Financiera a L.P.</t>
  </si>
  <si>
    <t>Restamos aquello que si representa salida de efectivo</t>
  </si>
  <si>
    <t>Disminución (aumento) en obligaciones a corto plazo</t>
  </si>
  <si>
    <t>Estas cuentas afectaron los resultados de septiembre 2014</t>
  </si>
  <si>
    <t>Disminución (aumento) en Retenciones por pagar</t>
  </si>
  <si>
    <t>Aumento (disminución) Impuesto por pagar</t>
  </si>
  <si>
    <t>Obligaciones a Corto Plazo</t>
  </si>
  <si>
    <t>Efectivo neto (usado) provisto en actividades de operación</t>
  </si>
  <si>
    <r>
      <t>Flujo de efectivo por actividades de inversión</t>
    </r>
    <r>
      <rPr>
        <sz val="11"/>
        <color indexed="8"/>
        <rFont val="Arial"/>
        <family val="2"/>
      </rPr>
      <t>:</t>
    </r>
  </si>
  <si>
    <t>Aumento (Disminucion) Reserva legal</t>
  </si>
  <si>
    <t>Disminucion de activos fijos</t>
  </si>
  <si>
    <t>Adquisición de activos  fijos</t>
  </si>
  <si>
    <t xml:space="preserve">      &lt;-----------------------</t>
  </si>
  <si>
    <t>Al adquirir activo fijo representa una salida de efectivo que en el Estado de Resultado no se encuentra ya que se compensa en la depreciacion mensual</t>
  </si>
  <si>
    <t>Efectivo neto (usado) en actividades de inversión</t>
  </si>
  <si>
    <t>Flujo de efectivo por actividades Financieras</t>
  </si>
  <si>
    <t>Efectivo utilizado en actividades de Financiamiento</t>
  </si>
  <si>
    <t>(Disminución) aumento en el efectivo</t>
  </si>
  <si>
    <t>Uso del efectivo en el periodo 2025 en diferentes actividades</t>
  </si>
  <si>
    <t>Efectivo al inicio del periodo</t>
  </si>
  <si>
    <t>El Efectivo al inicio del periodo lo afectamo con lo del periodo 2025</t>
  </si>
  <si>
    <t>Efectivo al final del periodo</t>
  </si>
  <si>
    <t>Este es el efectivo al final del periodo</t>
  </si>
  <si>
    <t>________________________________                 _____________________________________</t>
  </si>
  <si>
    <t>GABRIEL PERDOMO RODAS                                 LIC. RONNY ALEXIS CHAVEZ SANTOS</t>
  </si>
  <si>
    <t>Representante Legal                                                  Contador General</t>
  </si>
  <si>
    <t>_______________________________________</t>
  </si>
  <si>
    <t>LIC. JUAN CARLOS MIRA JORGE</t>
  </si>
  <si>
    <t>AUDITOR EXTERNO</t>
  </si>
  <si>
    <t>No REG. 4766</t>
  </si>
  <si>
    <t>Variaciones</t>
  </si>
  <si>
    <t>depre</t>
  </si>
  <si>
    <t>Cuentas por cobrar</t>
  </si>
  <si>
    <t>Inventario</t>
  </si>
  <si>
    <t>Pagos anticipado</t>
  </si>
  <si>
    <t>Iva credito</t>
  </si>
  <si>
    <t>cuentas por pagar y gastos acumulados</t>
  </si>
  <si>
    <t xml:space="preserve"> Proveedores Locales</t>
  </si>
  <si>
    <t>Aumento (disminución) en Deuda Financiera a L.P.</t>
  </si>
  <si>
    <t>Disminución (aumento) en otras  cuentas por pagar</t>
  </si>
  <si>
    <t>Retenciones por pagar</t>
  </si>
  <si>
    <t>Impuesto por pagar</t>
  </si>
  <si>
    <t>Propiedad, Planta y Equipo</t>
  </si>
  <si>
    <t>Reserva Legal</t>
  </si>
  <si>
    <t>Disminucion en activo fijo</t>
  </si>
  <si>
    <t>Del 1 enero al 31 de Diciembre de 2017 Y 2016</t>
  </si>
  <si>
    <t>(Valores expresados en dólares de los Estados Unidos de Norte América)</t>
  </si>
  <si>
    <t>Excedente (Deficit) de ingresos sobre Ejercicio 2017</t>
  </si>
  <si>
    <t>Uso del efectivo en el periodo 2014 en diferentes actividades</t>
  </si>
  <si>
    <t>El Efectivo al inicio del periodo lo afectamo con lo del periodo 2014</t>
  </si>
  <si>
    <t>GUSTAVO ADOLFO PERDOMO RODAS                                 LIC. RONNY ALEXIS CHAVEZ SANTOS</t>
  </si>
  <si>
    <t>Representante Legal                                                                        Contador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</si>
</sst>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¢&quot;* #,##0_);_(&quot;¢&quot;* \(#,##0\);_(&quot;¢&quot;* &quot;-&quot;_);_(@_)"/>
  </numFmts>
  <fonts count="16"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8"/>
      <color theme="1"/>
      <name val="Arial"/>
      <family val="2"/>
    </font>
    <font>
      <b/>
      <u/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u val="double"/>
      <sz val="11"/>
      <color rgb="FF00000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7" fontId="5" fillId="0" borderId="0" applyFont="0" applyFill="0" applyBorder="0" applyAlignment="0" applyProtection="0"/>
    <xf numFmtId="168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64" fontId="5" fillId="0" borderId="0" applyFont="0" applyFill="0" applyBorder="0" applyAlignment="0" applyProtection="0"/>
  </cellStyleXfs>
  <cellXfs count="102">
    <xf numFmtId="0" fontId="0" fillId="0" borderId="0" xfId="0"/>
    <xf numFmtId="165" fontId="0" fillId="0" borderId="0" xfId="0" applyNumberFormat="1"/>
    <xf numFmtId="0" fontId="0" fillId="0" borderId="1" xfId="0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17" fontId="0" fillId="0" borderId="0" xfId="0" applyNumberFormat="1"/>
    <xf numFmtId="0" fontId="0" fillId="0" borderId="0" xfId="0" applyAlignment="1">
      <alignment horizontal="justify"/>
    </xf>
    <xf numFmtId="0" fontId="0" fillId="0" borderId="0" xfId="0" applyAlignment="1">
      <alignment horizontal="right"/>
    </xf>
    <xf numFmtId="0" fontId="0" fillId="2" borderId="0" xfId="0" applyFill="1" applyAlignment="1">
      <alignment horizontal="justify"/>
    </xf>
    <xf numFmtId="166" fontId="7" fillId="0" borderId="14" xfId="0" applyNumberFormat="1" applyFont="1" applyBorder="1" applyAlignment="1">
      <alignment horizontal="right"/>
    </xf>
    <xf numFmtId="166" fontId="9" fillId="0" borderId="15" xfId="0" applyNumberFormat="1" applyFont="1" applyBorder="1" applyAlignment="1">
      <alignment horizontal="right"/>
    </xf>
    <xf numFmtId="166" fontId="0" fillId="0" borderId="14" xfId="0" applyNumberFormat="1" applyBorder="1" applyAlignment="1">
      <alignment horizontal="right"/>
    </xf>
    <xf numFmtId="0" fontId="7" fillId="0" borderId="10" xfId="0" applyFont="1" applyBorder="1"/>
    <xf numFmtId="0" fontId="0" fillId="0" borderId="5" xfId="0" applyBorder="1" applyAlignment="1">
      <alignment horizontal="right"/>
    </xf>
    <xf numFmtId="0" fontId="11" fillId="0" borderId="1" xfId="0" applyFont="1" applyBorder="1"/>
    <xf numFmtId="166" fontId="11" fillId="0" borderId="14" xfId="0" applyNumberFormat="1" applyFont="1" applyBorder="1" applyAlignment="1">
      <alignment horizontal="right"/>
    </xf>
    <xf numFmtId="0" fontId="12" fillId="0" borderId="1" xfId="0" applyFont="1" applyBorder="1" applyAlignment="1">
      <alignment wrapText="1"/>
    </xf>
    <xf numFmtId="166" fontId="0" fillId="0" borderId="14" xfId="0" applyNumberFormat="1" applyBorder="1" applyAlignment="1">
      <alignment horizontal="right" wrapText="1"/>
    </xf>
    <xf numFmtId="0" fontId="12" fillId="0" borderId="1" xfId="0" applyFont="1" applyBorder="1"/>
    <xf numFmtId="166" fontId="12" fillId="0" borderId="14" xfId="0" applyNumberFormat="1" applyFont="1" applyBorder="1" applyAlignment="1">
      <alignment horizontal="right"/>
    </xf>
    <xf numFmtId="0" fontId="7" fillId="0" borderId="3" xfId="0" applyFont="1" applyBorder="1"/>
    <xf numFmtId="166" fontId="7" fillId="0" borderId="6" xfId="0" applyNumberFormat="1" applyFon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6" fontId="9" fillId="0" borderId="6" xfId="0" applyNumberFormat="1" applyFont="1" applyBorder="1" applyAlignment="1">
      <alignment horizontal="right"/>
    </xf>
    <xf numFmtId="166" fontId="9" fillId="0" borderId="14" xfId="0" applyNumberFormat="1" applyFont="1" applyBorder="1" applyAlignment="1">
      <alignment horizontal="right"/>
    </xf>
    <xf numFmtId="0" fontId="11" fillId="0" borderId="10" xfId="0" applyFont="1" applyBorder="1"/>
    <xf numFmtId="166" fontId="12" fillId="0" borderId="5" xfId="0" applyNumberFormat="1" applyFont="1" applyBorder="1" applyAlignment="1">
      <alignment horizontal="right"/>
    </xf>
    <xf numFmtId="166" fontId="13" fillId="0" borderId="14" xfId="0" applyNumberFormat="1" applyFont="1" applyBorder="1" applyAlignment="1">
      <alignment horizontal="right"/>
    </xf>
    <xf numFmtId="166" fontId="0" fillId="0" borderId="0" xfId="0" applyNumberFormat="1"/>
    <xf numFmtId="166" fontId="0" fillId="0" borderId="16" xfId="0" applyNumberFormat="1" applyBorder="1" applyAlignment="1">
      <alignment horizontal="right"/>
    </xf>
    <xf numFmtId="166" fontId="11" fillId="0" borderId="16" xfId="0" applyNumberFormat="1" applyFont="1" applyBorder="1" applyAlignment="1">
      <alignment horizontal="right"/>
    </xf>
    <xf numFmtId="0" fontId="14" fillId="0" borderId="1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166" fontId="11" fillId="0" borderId="2" xfId="0" applyNumberFormat="1" applyFont="1" applyBorder="1" applyAlignment="1">
      <alignment horizontal="right"/>
    </xf>
    <xf numFmtId="166" fontId="0" fillId="0" borderId="2" xfId="0" applyNumberFormat="1" applyBorder="1" applyAlignment="1">
      <alignment horizontal="right" wrapText="1"/>
    </xf>
    <xf numFmtId="166" fontId="0" fillId="0" borderId="2" xfId="0" applyNumberFormat="1" applyBorder="1" applyAlignment="1">
      <alignment horizontal="right"/>
    </xf>
    <xf numFmtId="166" fontId="12" fillId="0" borderId="2" xfId="0" applyNumberFormat="1" applyFont="1" applyBorder="1" applyAlignment="1">
      <alignment horizontal="right"/>
    </xf>
    <xf numFmtId="166" fontId="7" fillId="0" borderId="2" xfId="0" applyNumberFormat="1" applyFont="1" applyBorder="1" applyAlignment="1">
      <alignment horizontal="right"/>
    </xf>
    <xf numFmtId="166" fontId="9" fillId="0" borderId="2" xfId="0" applyNumberFormat="1" applyFont="1" applyBorder="1" applyAlignment="1">
      <alignment horizontal="right"/>
    </xf>
    <xf numFmtId="166" fontId="13" fillId="0" borderId="2" xfId="0" applyNumberFormat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9" fillId="0" borderId="9" xfId="0" applyFont="1" applyBorder="1" applyAlignment="1">
      <alignment horizontal="right"/>
    </xf>
    <xf numFmtId="166" fontId="11" fillId="0" borderId="17" xfId="0" applyNumberFormat="1" applyFont="1" applyBorder="1" applyAlignment="1">
      <alignment horizontal="right"/>
    </xf>
    <xf numFmtId="166" fontId="7" fillId="0" borderId="4" xfId="0" applyNumberFormat="1" applyFont="1" applyBorder="1" applyAlignment="1">
      <alignment horizontal="right"/>
    </xf>
    <xf numFmtId="166" fontId="0" fillId="0" borderId="12" xfId="0" applyNumberFormat="1" applyBorder="1" applyAlignment="1">
      <alignment horizontal="right"/>
    </xf>
    <xf numFmtId="166" fontId="0" fillId="0" borderId="17" xfId="0" applyNumberFormat="1" applyBorder="1" applyAlignment="1">
      <alignment horizontal="right"/>
    </xf>
    <xf numFmtId="166" fontId="9" fillId="0" borderId="4" xfId="0" applyNumberFormat="1" applyFont="1" applyBorder="1" applyAlignment="1">
      <alignment horizontal="right"/>
    </xf>
    <xf numFmtId="166" fontId="9" fillId="0" borderId="9" xfId="0" applyNumberFormat="1" applyFont="1" applyBorder="1" applyAlignment="1">
      <alignment horizontal="right"/>
    </xf>
    <xf numFmtId="166" fontId="12" fillId="0" borderId="12" xfId="0" applyNumberFormat="1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0" fillId="0" borderId="14" xfId="0" applyBorder="1" applyAlignment="1">
      <alignment horizontal="right"/>
    </xf>
    <xf numFmtId="166" fontId="3" fillId="0" borderId="0" xfId="1" applyNumberFormat="1" applyFont="1"/>
    <xf numFmtId="165" fontId="0" fillId="0" borderId="14" xfId="0" applyNumberFormat="1" applyBorder="1" applyAlignment="1">
      <alignment horizontal="right"/>
    </xf>
    <xf numFmtId="165" fontId="11" fillId="0" borderId="14" xfId="0" applyNumberFormat="1" applyFont="1" applyBorder="1" applyAlignment="1">
      <alignment horizontal="right"/>
    </xf>
    <xf numFmtId="164" fontId="0" fillId="0" borderId="0" xfId="5" applyFont="1"/>
    <xf numFmtId="166" fontId="0" fillId="2" borderId="0" xfId="0" applyNumberFormat="1" applyFill="1"/>
    <xf numFmtId="0" fontId="0" fillId="0" borderId="10" xfId="0" applyBorder="1" applyAlignment="1">
      <alignment horizontal="justify"/>
    </xf>
    <xf numFmtId="0" fontId="0" fillId="0" borderId="11" xfId="0" applyBorder="1" applyAlignment="1">
      <alignment horizontal="justify"/>
    </xf>
    <xf numFmtId="0" fontId="0" fillId="0" borderId="12" xfId="0" applyBorder="1" applyAlignment="1">
      <alignment horizontal="justify"/>
    </xf>
    <xf numFmtId="0" fontId="0" fillId="0" borderId="3" xfId="0" applyBorder="1" applyAlignment="1">
      <alignment horizontal="justify"/>
    </xf>
    <xf numFmtId="0" fontId="0" fillId="0" borderId="13" xfId="0" applyBorder="1" applyAlignment="1">
      <alignment horizontal="justify"/>
    </xf>
    <xf numFmtId="0" fontId="0" fillId="0" borderId="4" xfId="0" applyBorder="1" applyAlignment="1">
      <alignment horizontal="justify"/>
    </xf>
    <xf numFmtId="0" fontId="0" fillId="2" borderId="10" xfId="0" applyFill="1" applyBorder="1" applyAlignment="1">
      <alignment horizontal="justify"/>
    </xf>
    <xf numFmtId="0" fontId="0" fillId="2" borderId="11" xfId="0" applyFill="1" applyBorder="1" applyAlignment="1">
      <alignment horizontal="justify"/>
    </xf>
    <xf numFmtId="0" fontId="0" fillId="2" borderId="12" xfId="0" applyFill="1" applyBorder="1" applyAlignment="1">
      <alignment horizontal="justify"/>
    </xf>
    <xf numFmtId="0" fontId="0" fillId="2" borderId="3" xfId="0" applyFill="1" applyBorder="1" applyAlignment="1">
      <alignment horizontal="justify"/>
    </xf>
    <xf numFmtId="0" fontId="0" fillId="2" borderId="13" xfId="0" applyFill="1" applyBorder="1" applyAlignment="1">
      <alignment horizontal="justify"/>
    </xf>
    <xf numFmtId="0" fontId="0" fillId="2" borderId="4" xfId="0" applyFill="1" applyBorder="1" applyAlignment="1">
      <alignment horizontal="justify"/>
    </xf>
    <xf numFmtId="0" fontId="14" fillId="0" borderId="10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1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6">
    <cellStyle name="Millares" xfId="1" builtinId="3"/>
    <cellStyle name="Moneda" xfId="5" builtinId="4"/>
    <cellStyle name="Moneda [0] 2" xfId="2" xr:uid="{00000000-0005-0000-0000-000002000000}"/>
    <cellStyle name="Moneda 2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11</xdr:row>
      <xdr:rowOff>38100</xdr:rowOff>
    </xdr:from>
    <xdr:to>
      <xdr:col>4</xdr:col>
      <xdr:colOff>482117</xdr:colOff>
      <xdr:row>21</xdr:row>
      <xdr:rowOff>163831</xdr:rowOff>
    </xdr:to>
    <xdr:sp macro="" textlink="">
      <xdr:nvSpPr>
        <xdr:cNvPr id="2" name="1 Cerrar llave">
          <a:extLst>
            <a:ext uri="{FF2B5EF4-FFF2-40B4-BE49-F238E27FC236}">
              <a16:creationId xmlns:a16="http://schemas.microsoft.com/office/drawing/2014/main" id="{36C1EB47-593C-B9AA-3A79-A41763B3FCE6}"/>
            </a:ext>
          </a:extLst>
        </xdr:cNvPr>
        <xdr:cNvSpPr/>
      </xdr:nvSpPr>
      <xdr:spPr>
        <a:xfrm>
          <a:off x="6800850" y="2590800"/>
          <a:ext cx="457200" cy="18383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s-SV"/>
        </a:p>
      </xdr:txBody>
    </xdr:sp>
    <xdr:clientData/>
  </xdr:twoCellAnchor>
  <xdr:twoCellAnchor>
    <xdr:from>
      <xdr:col>3</xdr:col>
      <xdr:colOff>45721</xdr:colOff>
      <xdr:row>22</xdr:row>
      <xdr:rowOff>87630</xdr:rowOff>
    </xdr:from>
    <xdr:to>
      <xdr:col>4</xdr:col>
      <xdr:colOff>739061</xdr:colOff>
      <xdr:row>34</xdr:row>
      <xdr:rowOff>104786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A4329A5B-3CC1-776E-0026-F050000FA1E3}"/>
            </a:ext>
          </a:extLst>
        </xdr:cNvPr>
        <xdr:cNvCxnSpPr/>
      </xdr:nvCxnSpPr>
      <xdr:spPr>
        <a:xfrm flipH="1" flipV="1">
          <a:off x="6057901" y="4552950"/>
          <a:ext cx="1457324" cy="1390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19051</xdr:colOff>
      <xdr:row>28</xdr:row>
      <xdr:rowOff>200026</xdr:rowOff>
    </xdr:from>
    <xdr:to>
      <xdr:col>4</xdr:col>
      <xdr:colOff>727718</xdr:colOff>
      <xdr:row>34</xdr:row>
      <xdr:rowOff>104775</xdr:rowOff>
    </xdr:to>
    <xdr:cxnSp macro="">
      <xdr:nvCxnSpPr>
        <xdr:cNvPr id="9" name="8 Conector recto de flecha">
          <a:extLst>
            <a:ext uri="{FF2B5EF4-FFF2-40B4-BE49-F238E27FC236}">
              <a16:creationId xmlns:a16="http://schemas.microsoft.com/office/drawing/2014/main" id="{42195955-61D6-9FA6-16F0-84E850037DB0}"/>
            </a:ext>
          </a:extLst>
        </xdr:cNvPr>
        <xdr:cNvCxnSpPr/>
      </xdr:nvCxnSpPr>
      <xdr:spPr>
        <a:xfrm flipH="1" flipV="1">
          <a:off x="6029326" y="5524501"/>
          <a:ext cx="1466849" cy="4190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11</xdr:row>
      <xdr:rowOff>38100</xdr:rowOff>
    </xdr:from>
    <xdr:to>
      <xdr:col>5</xdr:col>
      <xdr:colOff>482117</xdr:colOff>
      <xdr:row>21</xdr:row>
      <xdr:rowOff>163831</xdr:rowOff>
    </xdr:to>
    <xdr:sp macro="" textlink="">
      <xdr:nvSpPr>
        <xdr:cNvPr id="2" name="1 Cerrar llave">
          <a:extLst>
            <a:ext uri="{FF2B5EF4-FFF2-40B4-BE49-F238E27FC236}">
              <a16:creationId xmlns:a16="http://schemas.microsoft.com/office/drawing/2014/main" id="{DBCA3005-9B16-0E6C-D56D-0CDDE84CED7F}"/>
            </a:ext>
          </a:extLst>
        </xdr:cNvPr>
        <xdr:cNvSpPr/>
      </xdr:nvSpPr>
      <xdr:spPr>
        <a:xfrm>
          <a:off x="6705600" y="2438400"/>
          <a:ext cx="453542" cy="1114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s-SV"/>
        </a:p>
      </xdr:txBody>
    </xdr:sp>
    <xdr:clientData/>
  </xdr:twoCellAnchor>
  <xdr:twoCellAnchor>
    <xdr:from>
      <xdr:col>4</xdr:col>
      <xdr:colOff>45721</xdr:colOff>
      <xdr:row>22</xdr:row>
      <xdr:rowOff>87630</xdr:rowOff>
    </xdr:from>
    <xdr:to>
      <xdr:col>5</xdr:col>
      <xdr:colOff>739061</xdr:colOff>
      <xdr:row>33</xdr:row>
      <xdr:rowOff>104786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81433B08-A6C0-0C67-6DCB-9C30466814E3}"/>
            </a:ext>
          </a:extLst>
        </xdr:cNvPr>
        <xdr:cNvCxnSpPr/>
      </xdr:nvCxnSpPr>
      <xdr:spPr>
        <a:xfrm flipH="1" flipV="1">
          <a:off x="5960746" y="3640455"/>
          <a:ext cx="1455340" cy="25698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19051</xdr:colOff>
      <xdr:row>27</xdr:row>
      <xdr:rowOff>200026</xdr:rowOff>
    </xdr:from>
    <xdr:to>
      <xdr:col>5</xdr:col>
      <xdr:colOff>727718</xdr:colOff>
      <xdr:row>33</xdr:row>
      <xdr:rowOff>104775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CFAC97D1-557A-9346-ED32-569079DDFA12}"/>
            </a:ext>
          </a:extLst>
        </xdr:cNvPr>
        <xdr:cNvCxnSpPr/>
      </xdr:nvCxnSpPr>
      <xdr:spPr>
        <a:xfrm flipH="1" flipV="1">
          <a:off x="5934076" y="4533901"/>
          <a:ext cx="1470667" cy="16763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49"/>
  <sheetViews>
    <sheetView showGridLines="0" tabSelected="1" workbookViewId="0">
      <selection activeCell="B9" sqref="B9"/>
    </sheetView>
  </sheetViews>
  <sheetFormatPr defaultColWidth="11.42578125" defaultRowHeight="15"/>
  <cols>
    <col min="1" max="1" width="10" customWidth="1"/>
    <col min="2" max="2" width="65.140625" bestFit="1" customWidth="1"/>
    <col min="3" max="3" width="13.5703125" bestFit="1" customWidth="1"/>
    <col min="5" max="5" width="11.5703125" bestFit="1" customWidth="1"/>
    <col min="10" max="10" width="11.85546875" customWidth="1"/>
  </cols>
  <sheetData>
    <row r="1" spans="2:10" ht="20.25">
      <c r="B1" s="91" t="s">
        <v>0</v>
      </c>
      <c r="C1" s="92"/>
      <c r="E1" s="11" t="s">
        <v>1</v>
      </c>
    </row>
    <row r="2" spans="2:10">
      <c r="B2" s="93" t="s">
        <v>2</v>
      </c>
      <c r="C2" s="94"/>
      <c r="E2" t="s">
        <v>3</v>
      </c>
    </row>
    <row r="3" spans="2:10">
      <c r="B3" s="93" t="s">
        <v>4</v>
      </c>
      <c r="C3" s="94"/>
    </row>
    <row r="4" spans="2:10">
      <c r="B4" s="95" t="s">
        <v>5</v>
      </c>
      <c r="C4" s="96"/>
    </row>
    <row r="5" spans="2:10" ht="15.75" thickBot="1">
      <c r="B5" s="7"/>
      <c r="C5" s="8"/>
    </row>
    <row r="6" spans="2:10" ht="15.75" thickBot="1">
      <c r="B6" s="2"/>
      <c r="C6" s="9">
        <v>2025</v>
      </c>
    </row>
    <row r="7" spans="2:10" ht="15.75" thickBot="1">
      <c r="B7" s="29" t="s">
        <v>6</v>
      </c>
      <c r="C7" s="30"/>
    </row>
    <row r="8" spans="2:10" ht="15.75" thickBot="1">
      <c r="B8" s="31" t="s">
        <v>7</v>
      </c>
      <c r="C8" s="32">
        <v>-3548.1000000000004</v>
      </c>
      <c r="E8" s="1" t="s">
        <v>8</v>
      </c>
      <c r="F8" s="12" t="s">
        <v>9</v>
      </c>
      <c r="G8" s="13"/>
      <c r="H8" s="13"/>
      <c r="I8" s="13"/>
      <c r="J8" s="14"/>
    </row>
    <row r="9" spans="2:10" ht="29.25">
      <c r="B9" s="33" t="s">
        <v>10</v>
      </c>
      <c r="C9" s="34"/>
    </row>
    <row r="10" spans="2:10" hidden="1">
      <c r="B10" s="31" t="s">
        <v>11</v>
      </c>
      <c r="C10" s="32">
        <f>+'HOJA DE TRABAJO'!F5</f>
        <v>0</v>
      </c>
      <c r="E10" s="1" t="s">
        <v>8</v>
      </c>
      <c r="F10" s="79" t="s">
        <v>12</v>
      </c>
      <c r="G10" s="80"/>
      <c r="H10" s="80"/>
      <c r="I10" s="80"/>
      <c r="J10" s="81"/>
    </row>
    <row r="11" spans="2:10" ht="15.75" hidden="1" thickBot="1">
      <c r="B11" s="31" t="s">
        <v>13</v>
      </c>
      <c r="C11" s="32">
        <f>'HOJA DE TRABAJO'!F28</f>
        <v>0</v>
      </c>
      <c r="F11" s="82"/>
      <c r="G11" s="83"/>
      <c r="H11" s="83"/>
      <c r="I11" s="83"/>
      <c r="J11" s="84"/>
    </row>
    <row r="12" spans="2:10">
      <c r="B12" s="35" t="s">
        <v>14</v>
      </c>
      <c r="C12" s="28"/>
    </row>
    <row r="13" spans="2:10">
      <c r="B13" s="31" t="s">
        <v>15</v>
      </c>
      <c r="C13" s="32">
        <f>+'HOJA DE TRABAJO'!F7</f>
        <v>721.19000000000233</v>
      </c>
    </row>
    <row r="14" spans="2:10" hidden="1">
      <c r="B14" s="31" t="s">
        <v>16</v>
      </c>
      <c r="C14" s="32">
        <f>+'HOJA DE TRABAJO'!F9</f>
        <v>0</v>
      </c>
    </row>
    <row r="15" spans="2:10" hidden="1">
      <c r="B15" s="31" t="s">
        <v>17</v>
      </c>
      <c r="C15" s="32">
        <f>+'HOJA DE TRABAJO'!F11</f>
        <v>-154.87000000000012</v>
      </c>
    </row>
    <row r="16" spans="2:10">
      <c r="B16" s="31" t="s">
        <v>18</v>
      </c>
      <c r="C16" s="32">
        <f>+'HOJA DE TRABAJO'!F13</f>
        <v>767.99999999999977</v>
      </c>
    </row>
    <row r="17" spans="2:10" hidden="1">
      <c r="B17" s="31" t="s">
        <v>19</v>
      </c>
      <c r="C17" s="32">
        <f>+'HOJA DE TRABAJO'!F15</f>
        <v>-1091.6000000000058</v>
      </c>
      <c r="F17" s="15" t="s">
        <v>20</v>
      </c>
      <c r="G17" s="16"/>
      <c r="H17" s="16"/>
      <c r="I17" s="16"/>
      <c r="J17" s="17"/>
    </row>
    <row r="18" spans="2:10" hidden="1">
      <c r="B18" s="31" t="s">
        <v>21</v>
      </c>
      <c r="C18" s="32">
        <f>+'HOJA DE TRABAJO'!F18</f>
        <v>0</v>
      </c>
      <c r="F18" s="2" t="s">
        <v>22</v>
      </c>
      <c r="J18" s="4"/>
    </row>
    <row r="19" spans="2:10" ht="15.75" hidden="1" thickBot="1">
      <c r="B19" s="31" t="s">
        <v>23</v>
      </c>
      <c r="C19" s="32">
        <f>+'HOJA DE TRABAJO'!F20</f>
        <v>0</v>
      </c>
      <c r="F19" s="5" t="s">
        <v>24</v>
      </c>
      <c r="G19" s="18"/>
      <c r="H19" s="18"/>
      <c r="I19" s="18"/>
      <c r="J19" s="6"/>
    </row>
    <row r="20" spans="2:10">
      <c r="B20" s="31" t="s">
        <v>25</v>
      </c>
      <c r="C20" s="32">
        <f>+'HOJA DE TRABAJO'!F22</f>
        <v>-102.03999999999996</v>
      </c>
    </row>
    <row r="21" spans="2:10" hidden="1">
      <c r="B21" s="31" t="s">
        <v>26</v>
      </c>
      <c r="C21" s="47">
        <f>+'HOJA DE TRABAJO'!F24</f>
        <v>154.87</v>
      </c>
    </row>
    <row r="22" spans="2:10" hidden="1">
      <c r="B22" s="31" t="s">
        <v>27</v>
      </c>
      <c r="C22" s="36">
        <f>+'HOJA DE TRABAJO'!F26</f>
        <v>0</v>
      </c>
    </row>
    <row r="23" spans="2:10" ht="15.75" thickBot="1">
      <c r="B23" s="37" t="s">
        <v>28</v>
      </c>
      <c r="C23" s="38">
        <f>+SUM(C8:C22)</f>
        <v>-3252.5500000000038</v>
      </c>
    </row>
    <row r="24" spans="2:10" ht="15.75" thickBot="1">
      <c r="B24" s="3"/>
      <c r="C24" s="26"/>
    </row>
    <row r="25" spans="2:10">
      <c r="B25" s="29" t="s">
        <v>29</v>
      </c>
      <c r="C25" s="39"/>
    </row>
    <row r="26" spans="2:10" hidden="1">
      <c r="B26" s="31" t="s">
        <v>30</v>
      </c>
      <c r="C26" s="46">
        <f>+'HOJA DE TRABAJO'!F31</f>
        <v>0</v>
      </c>
    </row>
    <row r="27" spans="2:10" ht="15.75" hidden="1" thickBot="1">
      <c r="B27" s="31" t="s">
        <v>31</v>
      </c>
      <c r="C27" s="75">
        <f>+'HOJA DE TRABAJO'!F33</f>
        <v>0</v>
      </c>
    </row>
    <row r="28" spans="2:10" ht="21.75" hidden="1" customHeight="1">
      <c r="B28" s="31" t="s">
        <v>32</v>
      </c>
      <c r="C28" s="76">
        <f>+'HOJA DE TRABAJO'!F28</f>
        <v>0</v>
      </c>
      <c r="D28" t="s">
        <v>33</v>
      </c>
      <c r="F28" s="79" t="s">
        <v>34</v>
      </c>
      <c r="G28" s="80"/>
      <c r="H28" s="80"/>
      <c r="I28" s="80"/>
      <c r="J28" s="81"/>
    </row>
    <row r="29" spans="2:10" ht="24.75" customHeight="1" thickBot="1">
      <c r="B29" s="37" t="s">
        <v>35</v>
      </c>
      <c r="C29" s="40">
        <f>+SUM(C25:C28)</f>
        <v>0</v>
      </c>
      <c r="F29" s="82"/>
      <c r="G29" s="83"/>
      <c r="H29" s="83"/>
      <c r="I29" s="83"/>
      <c r="J29" s="84"/>
    </row>
    <row r="30" spans="2:10" ht="24.75" customHeight="1" thickBot="1">
      <c r="B30" s="3"/>
      <c r="C30" s="27"/>
      <c r="F30" s="23"/>
      <c r="G30" s="23"/>
      <c r="H30" s="23"/>
      <c r="I30" s="23"/>
      <c r="J30" s="23"/>
    </row>
    <row r="31" spans="2:10" ht="24.75" customHeight="1">
      <c r="B31" s="29" t="s">
        <v>36</v>
      </c>
      <c r="C31" s="41"/>
      <c r="F31" s="23"/>
      <c r="G31" s="23"/>
      <c r="H31" s="23"/>
      <c r="I31" s="23"/>
      <c r="J31" s="23"/>
    </row>
    <row r="32" spans="2:10" ht="24.75" hidden="1" customHeight="1">
      <c r="B32" s="31" t="s">
        <v>37</v>
      </c>
      <c r="C32" s="41"/>
      <c r="F32" s="23"/>
      <c r="G32" s="23"/>
      <c r="H32" s="23"/>
      <c r="I32" s="23"/>
      <c r="J32" s="23"/>
    </row>
    <row r="33" spans="2:10" ht="24.75" customHeight="1" thickBot="1">
      <c r="B33" s="37" t="s">
        <v>35</v>
      </c>
      <c r="C33" s="40">
        <f>+SUM(C32)</f>
        <v>0</v>
      </c>
      <c r="F33" s="23"/>
      <c r="G33" s="23"/>
      <c r="H33" s="23"/>
      <c r="I33" s="23"/>
      <c r="J33" s="23"/>
    </row>
    <row r="34" spans="2:10" ht="15.75" thickBot="1">
      <c r="B34" s="2"/>
      <c r="C34" s="28"/>
    </row>
    <row r="35" spans="2:10" ht="15" customHeight="1" thickBot="1">
      <c r="B35" s="42" t="s">
        <v>38</v>
      </c>
      <c r="C35" s="43">
        <f>+C23+C29</f>
        <v>-3252.5500000000038</v>
      </c>
      <c r="D35" t="s">
        <v>33</v>
      </c>
      <c r="F35" s="12" t="s">
        <v>39</v>
      </c>
      <c r="G35" s="13"/>
      <c r="H35" s="13"/>
      <c r="I35" s="13"/>
      <c r="J35" s="14"/>
    </row>
    <row r="36" spans="2:10" ht="15.75" thickBot="1">
      <c r="B36" s="31" t="s">
        <v>40</v>
      </c>
      <c r="C36" s="41">
        <v>4834.3400000000011</v>
      </c>
      <c r="D36" t="s">
        <v>33</v>
      </c>
      <c r="F36" s="19" t="s">
        <v>41</v>
      </c>
      <c r="G36" s="20"/>
      <c r="H36" s="20"/>
      <c r="I36" s="20"/>
      <c r="J36" s="21"/>
    </row>
    <row r="37" spans="2:10">
      <c r="B37" s="3" t="s">
        <v>42</v>
      </c>
      <c r="C37" s="44">
        <f>+SUM(C35:C36)</f>
        <v>1581.7899999999972</v>
      </c>
      <c r="D37" t="s">
        <v>33</v>
      </c>
      <c r="F37" s="85" t="s">
        <v>43</v>
      </c>
      <c r="G37" s="86"/>
      <c r="H37" s="86"/>
      <c r="I37" s="86"/>
      <c r="J37" s="87"/>
    </row>
    <row r="38" spans="2:10" ht="15.75" thickBot="1">
      <c r="B38" s="5"/>
      <c r="C38" s="10"/>
      <c r="F38" s="88"/>
      <c r="G38" s="89"/>
      <c r="H38" s="89"/>
      <c r="I38" s="89"/>
      <c r="J38" s="90"/>
    </row>
    <row r="39" spans="2:10">
      <c r="C39" s="24"/>
      <c r="F39" s="25"/>
      <c r="G39" s="25"/>
      <c r="H39" s="25"/>
      <c r="I39" s="25"/>
      <c r="J39" s="25"/>
    </row>
    <row r="40" spans="2:10">
      <c r="C40" s="24"/>
      <c r="F40" s="25"/>
      <c r="G40" s="25"/>
      <c r="H40" s="25"/>
      <c r="I40" s="25"/>
      <c r="J40" s="25"/>
    </row>
    <row r="41" spans="2:10">
      <c r="B41" s="98" t="s">
        <v>44</v>
      </c>
      <c r="C41" s="98"/>
      <c r="E41" s="45"/>
    </row>
    <row r="42" spans="2:10">
      <c r="B42" s="98" t="s">
        <v>45</v>
      </c>
      <c r="C42" s="98"/>
      <c r="E42" s="74"/>
    </row>
    <row r="43" spans="2:10">
      <c r="B43" s="98" t="s">
        <v>46</v>
      </c>
      <c r="C43" s="98"/>
      <c r="E43" s="45"/>
    </row>
    <row r="45" spans="2:10">
      <c r="E45" s="45"/>
    </row>
    <row r="46" spans="2:10">
      <c r="B46" s="98" t="s">
        <v>47</v>
      </c>
      <c r="C46" s="98"/>
    </row>
    <row r="47" spans="2:10">
      <c r="B47" s="98" t="s">
        <v>48</v>
      </c>
      <c r="C47" s="98"/>
      <c r="E47" s="1"/>
      <c r="G47" s="77">
        <v>1581.79</v>
      </c>
      <c r="H47" s="78">
        <f>+C37-G47</f>
        <v>-2.7284841053187847E-12</v>
      </c>
    </row>
    <row r="48" spans="2:10">
      <c r="B48" s="97" t="s">
        <v>49</v>
      </c>
      <c r="C48" s="97"/>
    </row>
    <row r="49" spans="2:3">
      <c r="B49" s="97" t="s">
        <v>50</v>
      </c>
      <c r="C49" s="97"/>
    </row>
  </sheetData>
  <mergeCells count="14">
    <mergeCell ref="B49:C49"/>
    <mergeCell ref="B42:C42"/>
    <mergeCell ref="B43:C43"/>
    <mergeCell ref="B41:C41"/>
    <mergeCell ref="B46:C46"/>
    <mergeCell ref="B47:C47"/>
    <mergeCell ref="B48:C48"/>
    <mergeCell ref="F28:J29"/>
    <mergeCell ref="F37:J38"/>
    <mergeCell ref="B1:C1"/>
    <mergeCell ref="B2:C2"/>
    <mergeCell ref="B3:C3"/>
    <mergeCell ref="B4:C4"/>
    <mergeCell ref="F10:J11"/>
  </mergeCells>
  <printOptions horizontalCentered="1"/>
  <pageMargins left="0" right="0" top="0.75" bottom="0" header="0.31496062992126" footer="0.31496062992126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5"/>
  <sheetViews>
    <sheetView topLeftCell="A19" workbookViewId="0">
      <selection activeCell="B33" sqref="B33"/>
    </sheetView>
  </sheetViews>
  <sheetFormatPr defaultColWidth="11.42578125" defaultRowHeight="15"/>
  <cols>
    <col min="1" max="1" width="57.7109375" bestFit="1" customWidth="1"/>
    <col min="2" max="2" width="11.85546875" bestFit="1" customWidth="1"/>
    <col min="4" max="4" width="11.85546875" bestFit="1" customWidth="1"/>
    <col min="6" max="6" width="11.5703125" bestFit="1" customWidth="1"/>
  </cols>
  <sheetData>
    <row r="2" spans="1:6">
      <c r="B2" s="98" t="s">
        <v>51</v>
      </c>
      <c r="C2" s="98"/>
      <c r="D2" s="98"/>
      <c r="E2" s="98"/>
      <c r="F2" s="98"/>
    </row>
    <row r="3" spans="1:6">
      <c r="B3">
        <v>2025</v>
      </c>
      <c r="D3">
        <v>2024</v>
      </c>
    </row>
    <row r="4" spans="1:6">
      <c r="B4" s="22"/>
    </row>
    <row r="5" spans="1:6">
      <c r="A5" t="s">
        <v>52</v>
      </c>
      <c r="B5" s="77">
        <v>1945.2</v>
      </c>
      <c r="C5" s="77"/>
      <c r="D5" s="77">
        <v>1945.2</v>
      </c>
      <c r="E5" s="77"/>
      <c r="F5" s="77">
        <f>+B5-D5</f>
        <v>0</v>
      </c>
    </row>
    <row r="6" spans="1:6">
      <c r="B6" s="77"/>
      <c r="C6" s="77"/>
      <c r="D6" s="77"/>
      <c r="E6" s="77"/>
      <c r="F6" s="77"/>
    </row>
    <row r="7" spans="1:6">
      <c r="A7" t="s">
        <v>53</v>
      </c>
      <c r="B7" s="77">
        <v>75267.09</v>
      </c>
      <c r="C7" s="77"/>
      <c r="D7" s="77">
        <v>75988.28</v>
      </c>
      <c r="E7" s="77"/>
      <c r="F7" s="77">
        <f>+D7-B7</f>
        <v>721.19000000000233</v>
      </c>
    </row>
    <row r="8" spans="1:6">
      <c r="B8" s="77"/>
      <c r="C8" s="77"/>
      <c r="D8" s="77"/>
      <c r="E8" s="77"/>
      <c r="F8" s="77"/>
    </row>
    <row r="9" spans="1:6">
      <c r="A9" t="s">
        <v>54</v>
      </c>
      <c r="B9" s="77">
        <v>0</v>
      </c>
      <c r="C9" s="77"/>
      <c r="D9" s="77">
        <v>0</v>
      </c>
      <c r="E9" s="77"/>
      <c r="F9" s="77">
        <f>+D9-B9</f>
        <v>0</v>
      </c>
    </row>
    <row r="10" spans="1:6">
      <c r="B10" s="77"/>
      <c r="C10" s="77"/>
      <c r="D10" s="77"/>
      <c r="E10" s="77"/>
      <c r="F10" s="77"/>
    </row>
    <row r="11" spans="1:6">
      <c r="A11" t="s">
        <v>55</v>
      </c>
      <c r="B11" s="77">
        <v>1589.22</v>
      </c>
      <c r="C11" s="77"/>
      <c r="D11" s="77">
        <v>1434.35</v>
      </c>
      <c r="E11" s="77"/>
      <c r="F11" s="77">
        <f>+D11-B11</f>
        <v>-154.87000000000012</v>
      </c>
    </row>
    <row r="12" spans="1:6">
      <c r="B12" s="77"/>
      <c r="C12" s="77"/>
      <c r="D12" s="77"/>
      <c r="E12" s="77"/>
      <c r="F12" s="77"/>
    </row>
    <row r="13" spans="1:6">
      <c r="A13" t="s">
        <v>56</v>
      </c>
      <c r="B13" s="77">
        <v>1630.7</v>
      </c>
      <c r="C13" s="77"/>
      <c r="D13" s="77">
        <v>2398.6999999999998</v>
      </c>
      <c r="E13" s="77"/>
      <c r="F13" s="77">
        <f>+D13-B13</f>
        <v>767.99999999999977</v>
      </c>
    </row>
    <row r="14" spans="1:6">
      <c r="B14" s="77"/>
      <c r="C14" s="77"/>
      <c r="D14" s="77"/>
      <c r="E14" s="77"/>
      <c r="F14" s="77"/>
    </row>
    <row r="15" spans="1:6">
      <c r="A15" t="s">
        <v>57</v>
      </c>
      <c r="B15" s="77">
        <v>75000</v>
      </c>
      <c r="C15" s="77"/>
      <c r="D15" s="77">
        <v>76091.600000000006</v>
      </c>
      <c r="E15" s="77"/>
      <c r="F15" s="77">
        <f>+B15-D15</f>
        <v>-1091.6000000000058</v>
      </c>
    </row>
    <row r="16" spans="1:6">
      <c r="A16" t="s">
        <v>58</v>
      </c>
      <c r="B16" s="77"/>
      <c r="C16" s="77"/>
      <c r="D16" s="77"/>
      <c r="E16" s="77"/>
      <c r="F16" s="77"/>
    </row>
    <row r="17" spans="1:6">
      <c r="B17" s="77"/>
      <c r="C17" s="77"/>
      <c r="D17" s="77"/>
      <c r="E17" s="77"/>
      <c r="F17" s="77"/>
    </row>
    <row r="18" spans="1:6">
      <c r="A18" t="s">
        <v>59</v>
      </c>
      <c r="B18" s="77">
        <v>0</v>
      </c>
      <c r="C18" s="77"/>
      <c r="D18" s="77">
        <v>0</v>
      </c>
      <c r="E18" s="77"/>
      <c r="F18" s="77">
        <f>+B18-D18</f>
        <v>0</v>
      </c>
    </row>
    <row r="19" spans="1:6">
      <c r="B19" s="77"/>
      <c r="C19" s="77"/>
      <c r="D19" s="77"/>
      <c r="E19" s="77"/>
      <c r="F19" s="77"/>
    </row>
    <row r="20" spans="1:6">
      <c r="A20" t="s">
        <v>60</v>
      </c>
      <c r="B20" s="77">
        <v>0</v>
      </c>
      <c r="C20" s="77"/>
      <c r="D20" s="77">
        <v>0</v>
      </c>
      <c r="E20" s="77"/>
      <c r="F20" s="77">
        <f>+B20-D20</f>
        <v>0</v>
      </c>
    </row>
    <row r="21" spans="1:6">
      <c r="B21" s="77"/>
      <c r="C21" s="77"/>
      <c r="D21" s="77"/>
      <c r="E21" s="77"/>
      <c r="F21" s="77"/>
    </row>
    <row r="22" spans="1:6">
      <c r="A22" t="s">
        <v>61</v>
      </c>
      <c r="B22" s="77">
        <v>487.51</v>
      </c>
      <c r="C22" s="77"/>
      <c r="D22" s="77">
        <v>589.54999999999995</v>
      </c>
      <c r="E22" s="77"/>
      <c r="F22" s="77">
        <f>+B22-D22</f>
        <v>-102.03999999999996</v>
      </c>
    </row>
    <row r="23" spans="1:6">
      <c r="B23" s="77"/>
      <c r="C23" s="77"/>
      <c r="D23" s="77"/>
      <c r="E23" s="77"/>
      <c r="F23" s="77"/>
    </row>
    <row r="24" spans="1:6">
      <c r="A24" t="s">
        <v>62</v>
      </c>
      <c r="B24" s="77">
        <v>154.87</v>
      </c>
      <c r="C24" s="77"/>
      <c r="D24" s="77">
        <v>0</v>
      </c>
      <c r="E24" s="77"/>
      <c r="F24" s="77">
        <f>+B24-D24</f>
        <v>154.87</v>
      </c>
    </row>
    <row r="25" spans="1:6">
      <c r="B25" s="77"/>
      <c r="C25" s="77"/>
      <c r="D25" s="77"/>
      <c r="E25" s="77"/>
      <c r="F25" s="77"/>
    </row>
    <row r="26" spans="1:6">
      <c r="A26" t="s">
        <v>27</v>
      </c>
      <c r="B26" s="77">
        <v>0</v>
      </c>
      <c r="C26" s="77"/>
      <c r="D26" s="77">
        <v>0</v>
      </c>
      <c r="E26" s="77"/>
      <c r="F26" s="77">
        <f>+B26-D26</f>
        <v>0</v>
      </c>
    </row>
    <row r="27" spans="1:6">
      <c r="B27" s="77"/>
      <c r="C27" s="77"/>
      <c r="D27" s="77"/>
      <c r="E27" s="77"/>
      <c r="F27" s="77"/>
    </row>
    <row r="28" spans="1:6">
      <c r="A28" t="s">
        <v>32</v>
      </c>
      <c r="B28" s="77">
        <v>1945.2</v>
      </c>
      <c r="C28" s="77"/>
      <c r="D28" s="77">
        <v>1945.2</v>
      </c>
      <c r="E28" s="77"/>
      <c r="F28" s="77">
        <f>+D28-B28</f>
        <v>0</v>
      </c>
    </row>
    <row r="29" spans="1:6">
      <c r="A29" t="s">
        <v>63</v>
      </c>
      <c r="B29" s="77"/>
      <c r="C29" s="77"/>
      <c r="D29" s="77"/>
      <c r="E29" s="77"/>
      <c r="F29" s="77"/>
    </row>
    <row r="30" spans="1:6">
      <c r="B30" s="77"/>
      <c r="C30" s="77"/>
      <c r="D30" s="77"/>
      <c r="E30" s="77"/>
      <c r="F30" s="77"/>
    </row>
    <row r="31" spans="1:6">
      <c r="A31" t="s">
        <v>64</v>
      </c>
      <c r="B31" s="77">
        <v>400</v>
      </c>
      <c r="C31" s="77"/>
      <c r="D31" s="77">
        <v>400</v>
      </c>
      <c r="E31" s="77"/>
      <c r="F31" s="77">
        <f>+B31-D31</f>
        <v>0</v>
      </c>
    </row>
    <row r="32" spans="1:6">
      <c r="B32" s="77"/>
      <c r="C32" s="77"/>
      <c r="D32" s="77"/>
      <c r="E32" s="77"/>
      <c r="F32" s="77"/>
    </row>
    <row r="33" spans="1:6">
      <c r="A33" t="s">
        <v>65</v>
      </c>
      <c r="B33" s="77">
        <v>0</v>
      </c>
      <c r="C33" s="77"/>
      <c r="D33" s="77">
        <v>0</v>
      </c>
      <c r="E33" s="77"/>
      <c r="F33" s="77">
        <f>+D33-B33</f>
        <v>0</v>
      </c>
    </row>
    <row r="35" spans="1:6">
      <c r="F35" s="1">
        <f>+'Flujo 2025'!C8</f>
        <v>-3548.1000000000004</v>
      </c>
    </row>
  </sheetData>
  <mergeCells count="1"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48"/>
  <sheetViews>
    <sheetView showGridLines="0" workbookViewId="0">
      <selection activeCell="B5" sqref="B5"/>
    </sheetView>
  </sheetViews>
  <sheetFormatPr defaultColWidth="11.42578125" defaultRowHeight="15"/>
  <cols>
    <col min="1" max="1" width="10" customWidth="1"/>
    <col min="2" max="2" width="65.140625" bestFit="1" customWidth="1"/>
    <col min="3" max="3" width="13.5703125" bestFit="1" customWidth="1"/>
    <col min="4" max="4" width="13.5703125" customWidth="1"/>
    <col min="6" max="6" width="11.5703125" bestFit="1" customWidth="1"/>
    <col min="11" max="11" width="11.85546875" customWidth="1"/>
  </cols>
  <sheetData>
    <row r="1" spans="2:11" ht="20.25">
      <c r="B1" s="91" t="s">
        <v>0</v>
      </c>
      <c r="C1" s="99"/>
      <c r="D1" s="48"/>
      <c r="F1" s="11" t="s">
        <v>1</v>
      </c>
    </row>
    <row r="2" spans="2:11">
      <c r="B2" s="93" t="s">
        <v>2</v>
      </c>
      <c r="C2" s="100"/>
      <c r="D2" s="49"/>
      <c r="F2" t="s">
        <v>3</v>
      </c>
    </row>
    <row r="3" spans="2:11">
      <c r="B3" s="93" t="s">
        <v>66</v>
      </c>
      <c r="C3" s="100"/>
      <c r="D3" s="49"/>
    </row>
    <row r="4" spans="2:11">
      <c r="B4" s="95" t="s">
        <v>67</v>
      </c>
      <c r="C4" s="101"/>
      <c r="D4" s="51"/>
    </row>
    <row r="5" spans="2:11" ht="15.75" thickBot="1">
      <c r="B5" s="50"/>
      <c r="C5" s="54"/>
      <c r="D5" s="51"/>
    </row>
    <row r="6" spans="2:11" ht="15.75" thickBot="1">
      <c r="B6" s="12"/>
      <c r="C6" s="72">
        <v>2017</v>
      </c>
      <c r="D6" s="64">
        <v>2016</v>
      </c>
    </row>
    <row r="7" spans="2:11" ht="15.75" thickBot="1">
      <c r="B7" s="3" t="s">
        <v>6</v>
      </c>
      <c r="C7" s="73"/>
      <c r="D7" s="55"/>
    </row>
    <row r="8" spans="2:11" ht="15.75" thickBot="1">
      <c r="B8" s="31" t="s">
        <v>68</v>
      </c>
      <c r="C8" s="32">
        <v>-3966.08</v>
      </c>
      <c r="D8" s="56">
        <v>-3062.39</v>
      </c>
      <c r="F8" s="1" t="s">
        <v>8</v>
      </c>
      <c r="G8" s="12" t="s">
        <v>9</v>
      </c>
      <c r="H8" s="13"/>
      <c r="I8" s="13"/>
      <c r="J8" s="13"/>
      <c r="K8" s="14"/>
    </row>
    <row r="9" spans="2:11" ht="30" thickBot="1">
      <c r="B9" s="33" t="s">
        <v>10</v>
      </c>
      <c r="C9" s="34"/>
      <c r="D9" s="57"/>
    </row>
    <row r="10" spans="2:11">
      <c r="B10" s="31" t="s">
        <v>11</v>
      </c>
      <c r="C10" s="32">
        <f>+'HOJA DE TRABAJO'!F5</f>
        <v>0</v>
      </c>
      <c r="D10" s="56">
        <v>0</v>
      </c>
      <c r="F10" s="1" t="s">
        <v>8</v>
      </c>
      <c r="G10" s="79" t="s">
        <v>12</v>
      </c>
      <c r="H10" s="80"/>
      <c r="I10" s="80"/>
      <c r="J10" s="80"/>
      <c r="K10" s="81"/>
    </row>
    <row r="11" spans="2:11" ht="15.75" thickBot="1">
      <c r="B11" s="31" t="s">
        <v>13</v>
      </c>
      <c r="C11" s="28"/>
      <c r="D11" s="58"/>
      <c r="G11" s="82"/>
      <c r="H11" s="83"/>
      <c r="I11" s="83"/>
      <c r="J11" s="83"/>
      <c r="K11" s="84"/>
    </row>
    <row r="12" spans="2:11">
      <c r="B12" s="35" t="s">
        <v>14</v>
      </c>
      <c r="C12" s="28"/>
      <c r="D12" s="58"/>
    </row>
    <row r="13" spans="2:11" hidden="1">
      <c r="B13" s="31" t="s">
        <v>15</v>
      </c>
      <c r="C13" s="32">
        <f>+'HOJA DE TRABAJO'!F7</f>
        <v>721.19000000000233</v>
      </c>
      <c r="D13" s="56">
        <v>0</v>
      </c>
    </row>
    <row r="14" spans="2:11" hidden="1">
      <c r="B14" s="31" t="s">
        <v>16</v>
      </c>
      <c r="C14" s="32">
        <f>+'HOJA DE TRABAJO'!F9</f>
        <v>0</v>
      </c>
      <c r="D14" s="56">
        <v>0</v>
      </c>
    </row>
    <row r="15" spans="2:11">
      <c r="B15" s="31" t="s">
        <v>17</v>
      </c>
      <c r="C15" s="32">
        <f>+'HOJA DE TRABAJO'!F11</f>
        <v>-154.87000000000012</v>
      </c>
      <c r="D15" s="56">
        <v>0</v>
      </c>
    </row>
    <row r="16" spans="2:11">
      <c r="B16" s="31" t="s">
        <v>18</v>
      </c>
      <c r="C16" s="32">
        <f>+'HOJA DE TRABAJO'!F13</f>
        <v>767.99999999999977</v>
      </c>
      <c r="D16" s="56">
        <v>0</v>
      </c>
    </row>
    <row r="17" spans="2:11" hidden="1">
      <c r="B17" s="31" t="s">
        <v>19</v>
      </c>
      <c r="C17" s="32">
        <f>+'HOJA DE TRABAJO'!F15</f>
        <v>-1091.6000000000058</v>
      </c>
      <c r="D17" s="56">
        <v>0</v>
      </c>
      <c r="G17" s="15" t="s">
        <v>20</v>
      </c>
      <c r="H17" s="16"/>
      <c r="I17" s="16"/>
      <c r="J17" s="16"/>
      <c r="K17" s="17"/>
    </row>
    <row r="18" spans="2:11" hidden="1">
      <c r="B18" s="31" t="s">
        <v>21</v>
      </c>
      <c r="C18" s="32">
        <f>+'HOJA DE TRABAJO'!F18</f>
        <v>0</v>
      </c>
      <c r="D18" s="56">
        <v>0</v>
      </c>
      <c r="G18" s="2" t="s">
        <v>22</v>
      </c>
      <c r="K18" s="4"/>
    </row>
    <row r="19" spans="2:11" ht="15.75" thickBot="1">
      <c r="B19" s="31" t="s">
        <v>23</v>
      </c>
      <c r="C19" s="32">
        <f>+'HOJA DE TRABAJO'!F20</f>
        <v>0</v>
      </c>
      <c r="D19" s="56">
        <v>0</v>
      </c>
      <c r="G19" s="5" t="s">
        <v>24</v>
      </c>
      <c r="H19" s="18"/>
      <c r="I19" s="18"/>
      <c r="J19" s="18"/>
      <c r="K19" s="6"/>
    </row>
    <row r="20" spans="2:11">
      <c r="B20" s="31" t="s">
        <v>25</v>
      </c>
      <c r="C20" s="32">
        <f>+'HOJA DE TRABAJO'!F22</f>
        <v>-102.03999999999996</v>
      </c>
      <c r="D20" s="56">
        <v>0</v>
      </c>
    </row>
    <row r="21" spans="2:11">
      <c r="B21" s="31" t="s">
        <v>26</v>
      </c>
      <c r="C21" s="32">
        <f>+'HOJA DE TRABAJO'!F24</f>
        <v>154.87</v>
      </c>
      <c r="D21" s="65">
        <v>0</v>
      </c>
    </row>
    <row r="22" spans="2:11" hidden="1">
      <c r="B22" s="31" t="s">
        <v>27</v>
      </c>
      <c r="C22" s="36">
        <f>+'HOJA DE TRABAJO'!F26</f>
        <v>0</v>
      </c>
      <c r="D22" s="59">
        <v>0</v>
      </c>
    </row>
    <row r="23" spans="2:11" ht="15.75" thickBot="1">
      <c r="B23" s="3" t="s">
        <v>28</v>
      </c>
      <c r="C23" s="26">
        <f>+SUM(C8:C22)</f>
        <v>-3670.5300000000034</v>
      </c>
      <c r="D23" s="66">
        <f>+SUM(D8:D22)</f>
        <v>-3062.39</v>
      </c>
    </row>
    <row r="24" spans="2:11" ht="15.75" thickBot="1">
      <c r="B24" s="3"/>
      <c r="C24" s="26"/>
      <c r="D24" s="60"/>
    </row>
    <row r="25" spans="2:11">
      <c r="B25" s="3" t="s">
        <v>29</v>
      </c>
      <c r="C25" s="28"/>
      <c r="D25" s="67"/>
    </row>
    <row r="26" spans="2:11">
      <c r="B26" s="31" t="s">
        <v>30</v>
      </c>
      <c r="C26" s="28">
        <f>+'HOJA DE TRABAJO'!F31</f>
        <v>0</v>
      </c>
      <c r="D26" s="68">
        <v>0</v>
      </c>
    </row>
    <row r="27" spans="2:11" ht="21.75" hidden="1" customHeight="1">
      <c r="B27" s="31" t="s">
        <v>32</v>
      </c>
      <c r="C27" s="36">
        <f>+'HOJA DE TRABAJO'!F28</f>
        <v>0</v>
      </c>
      <c r="D27" s="59">
        <v>0</v>
      </c>
      <c r="E27" t="s">
        <v>33</v>
      </c>
      <c r="G27" s="79" t="s">
        <v>34</v>
      </c>
      <c r="H27" s="80"/>
      <c r="I27" s="80"/>
      <c r="J27" s="80"/>
      <c r="K27" s="81"/>
    </row>
    <row r="28" spans="2:11" ht="24.75" customHeight="1" thickBot="1">
      <c r="B28" s="3" t="s">
        <v>35</v>
      </c>
      <c r="C28" s="41">
        <f>+SUM(C25:C27)</f>
        <v>0</v>
      </c>
      <c r="D28" s="69">
        <f>+SUM(D25:D27)</f>
        <v>0</v>
      </c>
      <c r="G28" s="82"/>
      <c r="H28" s="83"/>
      <c r="I28" s="83"/>
      <c r="J28" s="83"/>
      <c r="K28" s="84"/>
    </row>
    <row r="29" spans="2:11" ht="24.75" customHeight="1" thickBot="1">
      <c r="B29" s="3"/>
      <c r="C29" s="41"/>
      <c r="D29" s="70"/>
      <c r="G29" s="23"/>
      <c r="H29" s="23"/>
      <c r="I29" s="23"/>
      <c r="J29" s="23"/>
      <c r="K29" s="23"/>
    </row>
    <row r="30" spans="2:11" ht="24.75" customHeight="1">
      <c r="B30" s="3" t="s">
        <v>36</v>
      </c>
      <c r="C30" s="41"/>
      <c r="D30" s="61"/>
      <c r="G30" s="23"/>
      <c r="H30" s="23"/>
      <c r="I30" s="23"/>
      <c r="J30" s="23"/>
      <c r="K30" s="23"/>
    </row>
    <row r="31" spans="2:11" ht="24.75" customHeight="1">
      <c r="B31" s="31" t="s">
        <v>37</v>
      </c>
      <c r="C31" s="41"/>
      <c r="D31" s="61"/>
      <c r="G31" s="23"/>
      <c r="H31" s="23"/>
      <c r="I31" s="23"/>
      <c r="J31" s="23"/>
      <c r="K31" s="23"/>
    </row>
    <row r="32" spans="2:11" ht="24.75" customHeight="1" thickBot="1">
      <c r="B32" s="3" t="s">
        <v>35</v>
      </c>
      <c r="C32" s="41">
        <f>+SUM(C31)</f>
        <v>0</v>
      </c>
      <c r="D32" s="69">
        <f>+SUM(D31)</f>
        <v>0</v>
      </c>
      <c r="G32" s="23"/>
      <c r="H32" s="23"/>
      <c r="I32" s="23"/>
      <c r="J32" s="23"/>
      <c r="K32" s="23"/>
    </row>
    <row r="33" spans="2:11" ht="15.75" thickBot="1">
      <c r="B33" s="2"/>
      <c r="C33" s="28"/>
      <c r="D33" s="58"/>
    </row>
    <row r="34" spans="2:11" ht="15" customHeight="1" thickBot="1">
      <c r="B34" s="31" t="s">
        <v>38</v>
      </c>
      <c r="C34" s="36">
        <f>+C23+C28</f>
        <v>-3670.5300000000034</v>
      </c>
      <c r="D34" s="71">
        <f>+D23+D28</f>
        <v>-3062.39</v>
      </c>
      <c r="E34" t="s">
        <v>33</v>
      </c>
      <c r="G34" s="12" t="s">
        <v>69</v>
      </c>
      <c r="H34" s="13"/>
      <c r="I34" s="13"/>
      <c r="J34" s="13"/>
      <c r="K34" s="14"/>
    </row>
    <row r="35" spans="2:11" ht="15.75" thickBot="1">
      <c r="B35" s="31" t="s">
        <v>40</v>
      </c>
      <c r="C35" s="41">
        <v>1775.29</v>
      </c>
      <c r="D35" s="61">
        <v>6468.02</v>
      </c>
      <c r="E35" t="s">
        <v>33</v>
      </c>
      <c r="G35" s="19" t="s">
        <v>70</v>
      </c>
      <c r="H35" s="20"/>
      <c r="I35" s="20"/>
      <c r="J35" s="20"/>
      <c r="K35" s="21"/>
    </row>
    <row r="36" spans="2:11">
      <c r="B36" s="3" t="s">
        <v>42</v>
      </c>
      <c r="C36" s="44">
        <f>+SUM(C34:C35)</f>
        <v>-1895.2400000000034</v>
      </c>
      <c r="D36" s="62">
        <f>+SUM(D34:D35)</f>
        <v>3405.6300000000006</v>
      </c>
      <c r="E36" t="s">
        <v>33</v>
      </c>
      <c r="G36" s="85" t="s">
        <v>43</v>
      </c>
      <c r="H36" s="86"/>
      <c r="I36" s="86"/>
      <c r="J36" s="86"/>
      <c r="K36" s="87"/>
    </row>
    <row r="37" spans="2:11" ht="15.75" thickBot="1">
      <c r="B37" s="5"/>
      <c r="C37" s="10"/>
      <c r="D37" s="63"/>
      <c r="G37" s="88"/>
      <c r="H37" s="89"/>
      <c r="I37" s="89"/>
      <c r="J37" s="89"/>
      <c r="K37" s="90"/>
    </row>
    <row r="38" spans="2:11">
      <c r="C38" s="24"/>
      <c r="D38" s="24"/>
      <c r="G38" s="25"/>
      <c r="H38" s="25"/>
      <c r="I38" s="25"/>
      <c r="J38" s="25"/>
      <c r="K38" s="25"/>
    </row>
    <row r="39" spans="2:11">
      <c r="C39" s="24"/>
      <c r="D39" s="24"/>
      <c r="G39" s="25"/>
      <c r="H39" s="25"/>
      <c r="I39" s="25"/>
      <c r="J39" s="25"/>
      <c r="K39" s="25"/>
    </row>
    <row r="40" spans="2:11">
      <c r="B40" s="98" t="s">
        <v>44</v>
      </c>
      <c r="C40" s="98"/>
      <c r="D40" s="53"/>
    </row>
    <row r="41" spans="2:11">
      <c r="B41" s="98" t="s">
        <v>71</v>
      </c>
      <c r="C41" s="98"/>
      <c r="D41" s="53"/>
    </row>
    <row r="42" spans="2:11">
      <c r="B42" s="98" t="s">
        <v>72</v>
      </c>
      <c r="C42" s="98"/>
      <c r="D42" s="53"/>
      <c r="F42" s="45"/>
    </row>
    <row r="45" spans="2:11">
      <c r="B45" s="98" t="s">
        <v>47</v>
      </c>
      <c r="C45" s="98"/>
      <c r="D45" s="53"/>
    </row>
    <row r="46" spans="2:11">
      <c r="B46" s="98" t="s">
        <v>48</v>
      </c>
      <c r="C46" s="98"/>
      <c r="D46" s="53"/>
      <c r="F46" s="1"/>
    </row>
    <row r="47" spans="2:11">
      <c r="B47" s="97" t="s">
        <v>49</v>
      </c>
      <c r="C47" s="97"/>
      <c r="D47" s="52"/>
    </row>
    <row r="48" spans="2:11">
      <c r="B48" s="97" t="s">
        <v>50</v>
      </c>
      <c r="C48" s="97"/>
      <c r="D48" s="52"/>
    </row>
  </sheetData>
  <mergeCells count="14">
    <mergeCell ref="G27:K28"/>
    <mergeCell ref="B1:C1"/>
    <mergeCell ref="B2:C2"/>
    <mergeCell ref="B3:C3"/>
    <mergeCell ref="B4:C4"/>
    <mergeCell ref="G10:K11"/>
    <mergeCell ref="B47:C47"/>
    <mergeCell ref="B48:C48"/>
    <mergeCell ref="G36:K37"/>
    <mergeCell ref="B40:C40"/>
    <mergeCell ref="B41:C41"/>
    <mergeCell ref="B42:C42"/>
    <mergeCell ref="B45:C45"/>
    <mergeCell ref="B46:C46"/>
  </mergeCells>
  <printOptions horizontalCentered="1"/>
  <pageMargins left="0" right="0" top="0.75" bottom="0" header="0.31496062992126" footer="0.31496062992126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f273-b714-401b-905f-53481aee3273" xsi:nil="true"/>
    <lcf76f155ced4ddcb4097134ff3c332f xmlns="8a2bc7ff-4258-4d5c-9304-6b26cb5a4e0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F46416659BA74987BCE302007A318E" ma:contentTypeVersion="15" ma:contentTypeDescription="Crear nuevo documento." ma:contentTypeScope="" ma:versionID="8b35513354af63e986345b5409b9f70e">
  <xsd:schema xmlns:xsd="http://www.w3.org/2001/XMLSchema" xmlns:xs="http://www.w3.org/2001/XMLSchema" xmlns:p="http://schemas.microsoft.com/office/2006/metadata/properties" xmlns:ns2="2ae7f273-b714-401b-905f-53481aee3273" xmlns:ns3="8a2bc7ff-4258-4d5c-9304-6b26cb5a4e07" targetNamespace="http://schemas.microsoft.com/office/2006/metadata/properties" ma:root="true" ma:fieldsID="4d8dd5c07f5e85c62b4b08b15642a980" ns2:_="" ns3:_="">
    <xsd:import namespace="2ae7f273-b714-401b-905f-53481aee3273"/>
    <xsd:import namespace="8a2bc7ff-4258-4d5c-9304-6b26cb5a4e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f273-b714-401b-905f-53481aee32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1734ea-545c-4c2b-8aaf-f4606096c0dc}" ma:internalName="TaxCatchAll" ma:showField="CatchAllData" ma:web="2ae7f273-b714-401b-905f-53481aee3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c7ff-4258-4d5c-9304-6b26cb5a4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400971d-75bb-4dae-a32f-3edd0b98a9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88E71-427B-4563-8217-7FD25F04CD62}"/>
</file>

<file path=customXml/itemProps2.xml><?xml version="1.0" encoding="utf-8"?>
<ds:datastoreItem xmlns:ds="http://schemas.openxmlformats.org/officeDocument/2006/customXml" ds:itemID="{238807FE-C5F8-415D-88C4-071B024721A9}"/>
</file>

<file path=customXml/itemProps3.xml><?xml version="1.0" encoding="utf-8"?>
<ds:datastoreItem xmlns:ds="http://schemas.openxmlformats.org/officeDocument/2006/customXml" ds:itemID="{D6F3A79D-461C-4F61-88EC-CD7615FB1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IAES</dc:creator>
  <cp:keywords/>
  <dc:description/>
  <cp:lastModifiedBy>Ronny Chávez</cp:lastModifiedBy>
  <cp:revision/>
  <dcterms:created xsi:type="dcterms:W3CDTF">2013-05-16T21:59:50Z</dcterms:created>
  <dcterms:modified xsi:type="dcterms:W3CDTF">2026-06-23T00:56:17Z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0x010100F3F46416659BA74987BCE302007A318E</vt:lpwstr>
  </property>
  <property fmtid="{D5CDD505-2E9C-101B-9397-08002B2CF9AE}" pid="3" name="MediaServiceImageTags">
    <vt:lpwstr/>
  </property>
</Properties>
</file>