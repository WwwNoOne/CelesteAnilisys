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24226"/>
  <xr:revisionPtr revIDLastSave="8" documentId="11_06A8A40816756357BB3E271634DEB5679B7B8FD1" xr6:coauthVersionLast="47" xr6:coauthVersionMax="47" xr10:uidLastSave="{9826B89C-E7D1-4514-A120-912C92A22D78}"/>
  <bookViews>
    <workbookView xWindow="-60" yWindow="-60" windowWidth="15480" windowHeight="11640" tabRatio="190" firstSheet="1" activeTab="1" xr2:uid="{00000000-000D-0000-FFFF-FFFF00000000}"/>
  </bookViews>
  <sheets>
    <sheet name="2024" sheetId="1" r:id="rId1"/>
    <sheet name="2025" sheetId="2" r:id="rId2"/>
  </sheets>
  <definedNames>
    <definedName name="_xlnm.Print_Area" localSheetId="0">'2024'!$A$1:$D$39</definedName>
    <definedName name="_xlnm.Print_Area" localSheetId="1">'2025'!$A$1:$D$39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2" l="1"/>
  <c r="D13" i="2"/>
  <c r="D11" i="2"/>
  <c r="D6" i="2"/>
  <c r="D17" i="2" l="1"/>
  <c r="H22" i="2" s="1"/>
  <c r="H25" i="2" s="1"/>
  <c r="D13" i="1"/>
  <c r="D6" i="1"/>
  <c r="D11" i="1"/>
  <c r="D17" i="1"/>
  <c r="D21" i="1" s="1"/>
  <c r="H22" i="1"/>
  <c r="H25" i="1"/>
  <c r="D23" i="1"/>
  <c r="D23" i="2" l="1"/>
</calcChain>
</file>

<file path=xl/sharedStrings.xml><?xml version="1.0" encoding="utf-8"?>
<sst xmlns="http://schemas.openxmlformats.org/spreadsheetml/2006/main" count="54" uniqueCount="30">
  <si>
    <t>BENGALA AUDIOVISUAL, S.A. DE C.V.</t>
  </si>
  <si>
    <t>Estado de Resultados del 1 de Enero al 31 de Diciembre de 2024</t>
  </si>
  <si>
    <t>(VALORES EXPRESADOS EN DOLARES DE LOS ESTADOS UNIDOS DE AMERICA)</t>
  </si>
  <si>
    <t>INGRESOS DE OPERACIÓN</t>
  </si>
  <si>
    <t>INGRESOS POR SERVICIOS</t>
  </si>
  <si>
    <t>Menos</t>
  </si>
  <si>
    <t>COSTO DE VENTAS</t>
  </si>
  <si>
    <t>COSTO ELEBORACION DE VIDEOS</t>
  </si>
  <si>
    <t>GASTOS DE OPERACIÓN</t>
  </si>
  <si>
    <t>GASTOS DE ADMINISTRACION</t>
  </si>
  <si>
    <t>GASTOS DE VENTAS</t>
  </si>
  <si>
    <t>UTILIDAD BRUTA</t>
  </si>
  <si>
    <t>Mas: GASTOS NO DEDUCIBLES</t>
  </si>
  <si>
    <t>IMPUESTO SOBRE LA RENTA</t>
  </si>
  <si>
    <t>CONCILIACION DE IMPUESTOS</t>
  </si>
  <si>
    <t>ISR 2024</t>
  </si>
  <si>
    <t>UTILIDAD DEL EJERCICIO</t>
  </si>
  <si>
    <t>Menos PAGO A CTA</t>
  </si>
  <si>
    <t>Menos EXEDENTE</t>
  </si>
  <si>
    <t>Neto a Pagar</t>
  </si>
  <si>
    <t>GABRIEL PERDOMO RODAS</t>
  </si>
  <si>
    <t>LIC. RONNY ALEXIS CHAVEZ SANTOS</t>
  </si>
  <si>
    <t>REPRESENTANTE LEGAL</t>
  </si>
  <si>
    <t>CONTADOR GENERAL</t>
  </si>
  <si>
    <t>LIC. JUAN CARLOS MIRA JORGE</t>
  </si>
  <si>
    <t>AUDITOR EXTERNO</t>
  </si>
  <si>
    <t>Estado de Resultados del 1 de Enero al 31 de Diciembre de 2025</t>
  </si>
  <si>
    <t>PERIDA DEL EJERCICO</t>
  </si>
  <si>
    <t>ISR 2025</t>
  </si>
  <si>
    <t>PERDIDA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</si>
</sst>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¢&quot;* #,##0_);_(&quot;¢&quot;* \(#,##0\);_(&quot;¢&quot;* &quot;-&quot;_);_(@_)"/>
    <numFmt numFmtId="167" formatCode="_(&quot;¢&quot;* #,##0.00_);_(&quot;¢&quot;* \(#,##0.00\);_(&quot;¢&quot;* &quot;-&quot;??_);_(@_)"/>
  </numFmts>
  <fonts count="9">
    <font>
      <sz val="10"/>
      <name val="Arial"/>
    </font>
    <font>
      <sz val="10"/>
      <name val="Arial"/>
    </font>
    <font>
      <b/>
      <sz val="12"/>
      <name val="Arial"/>
      <family val="2"/>
    </font>
    <font>
      <b/>
      <sz val="16"/>
      <name val="Arial"/>
      <family val="2"/>
    </font>
    <font>
      <u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167" fontId="3" fillId="0" borderId="0" xfId="2" applyNumberFormat="1" applyFont="1" applyBorder="1" applyAlignment="1">
      <alignment horizontal="centerContinuous"/>
    </xf>
    <xf numFmtId="167" fontId="2" fillId="0" borderId="0" xfId="2" applyNumberFormat="1" applyFont="1" applyBorder="1" applyAlignment="1">
      <alignment horizontal="centerContinuous"/>
    </xf>
    <xf numFmtId="167" fontId="0" fillId="0" borderId="0" xfId="2" applyNumberFormat="1" applyFont="1" applyBorder="1"/>
    <xf numFmtId="0" fontId="0" fillId="0" borderId="0" xfId="2" applyNumberFormat="1" applyFont="1" applyBorder="1" applyAlignment="1"/>
    <xf numFmtId="167" fontId="0" fillId="0" borderId="1" xfId="2" applyNumberFormat="1" applyFont="1" applyBorder="1"/>
    <xf numFmtId="165" fontId="4" fillId="0" borderId="0" xfId="1" applyFont="1" applyBorder="1" applyAlignment="1"/>
    <xf numFmtId="167" fontId="3" fillId="0" borderId="0" xfId="2" applyNumberFormat="1" applyFont="1" applyBorder="1" applyAlignment="1"/>
    <xf numFmtId="167" fontId="2" fillId="0" borderId="0" xfId="2" applyNumberFormat="1" applyFont="1" applyBorder="1" applyAlignment="1"/>
    <xf numFmtId="167" fontId="5" fillId="0" borderId="0" xfId="2" applyNumberFormat="1" applyFont="1" applyBorder="1" applyAlignment="1">
      <alignment horizontal="centerContinuous"/>
    </xf>
    <xf numFmtId="0" fontId="4" fillId="0" borderId="0" xfId="2" applyNumberFormat="1" applyFont="1" applyBorder="1" applyAlignment="1"/>
    <xf numFmtId="0" fontId="7" fillId="0" borderId="0" xfId="2" applyNumberFormat="1" applyFont="1" applyBorder="1" applyAlignment="1"/>
    <xf numFmtId="167" fontId="8" fillId="0" borderId="0" xfId="2" applyNumberFormat="1" applyFont="1" applyBorder="1"/>
    <xf numFmtId="164" fontId="0" fillId="0" borderId="0" xfId="2" applyNumberFormat="1" applyFont="1" applyBorder="1" applyAlignment="1"/>
    <xf numFmtId="164" fontId="0" fillId="0" borderId="0" xfId="1" applyNumberFormat="1" applyFont="1" applyBorder="1" applyAlignment="1"/>
    <xf numFmtId="164" fontId="0" fillId="0" borderId="0" xfId="2" applyNumberFormat="1" applyFont="1" applyBorder="1"/>
    <xf numFmtId="164" fontId="0" fillId="0" borderId="2" xfId="1" applyNumberFormat="1" applyFont="1" applyBorder="1" applyAlignment="1"/>
    <xf numFmtId="164" fontId="0" fillId="0" borderId="2" xfId="2" applyNumberFormat="1" applyFont="1" applyBorder="1" applyAlignment="1"/>
    <xf numFmtId="164" fontId="0" fillId="0" borderId="2" xfId="2" applyNumberFormat="1" applyFont="1" applyBorder="1"/>
    <xf numFmtId="164" fontId="7" fillId="0" borderId="1" xfId="2" applyNumberFormat="1" applyFont="1" applyBorder="1" applyAlignment="1"/>
    <xf numFmtId="167" fontId="0" fillId="0" borderId="0" xfId="2" applyNumberFormat="1" applyFont="1" applyBorder="1" applyAlignment="1">
      <alignment horizontal="center"/>
    </xf>
    <xf numFmtId="10" fontId="0" fillId="0" borderId="0" xfId="3" applyNumberFormat="1" applyFont="1" applyBorder="1"/>
    <xf numFmtId="167" fontId="6" fillId="0" borderId="0" xfId="2" applyNumberFormat="1" applyFont="1" applyBorder="1"/>
    <xf numFmtId="0" fontId="6" fillId="0" borderId="0" xfId="2" applyNumberFormat="1" applyFont="1" applyBorder="1" applyAlignment="1"/>
    <xf numFmtId="167" fontId="6" fillId="0" borderId="0" xfId="2" applyNumberFormat="1" applyFont="1" applyBorder="1" applyAlignment="1">
      <alignment horizontal="centerContinuous"/>
    </xf>
    <xf numFmtId="164" fontId="6" fillId="0" borderId="0" xfId="1" applyNumberFormat="1" applyFont="1" applyBorder="1"/>
    <xf numFmtId="164" fontId="6" fillId="0" borderId="0" xfId="2" applyNumberFormat="1" applyFont="1" applyBorder="1" applyAlignment="1"/>
    <xf numFmtId="167" fontId="6" fillId="0" borderId="0" xfId="2" applyNumberFormat="1" applyFont="1" applyBorder="1" applyAlignment="1">
      <alignment horizontal="center"/>
    </xf>
    <xf numFmtId="167" fontId="0" fillId="0" borderId="0" xfId="2" applyNumberFormat="1" applyFont="1" applyBorder="1" applyAlignment="1">
      <alignment horizontal="center"/>
    </xf>
    <xf numFmtId="164" fontId="0" fillId="0" borderId="3" xfId="1" applyNumberFormat="1" applyFont="1" applyBorder="1" applyAlignment="1"/>
    <xf numFmtId="164" fontId="0" fillId="0" borderId="3" xfId="2" applyNumberFormat="1" applyFont="1" applyBorder="1"/>
  </cellXfs>
  <cellStyles count="4">
    <cellStyle name="Millares" xfId="1" builtinId="3"/>
    <cellStyle name="Moneda [0]" xfId="2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7"/>
  <sheetViews>
    <sheetView showGridLines="0" workbookViewId="0">
      <selection activeCell="C27" sqref="C27"/>
    </sheetView>
  </sheetViews>
  <sheetFormatPr defaultColWidth="11.42578125" defaultRowHeight="12.75"/>
  <cols>
    <col min="1" max="1" width="35.7109375" style="3" customWidth="1"/>
    <col min="2" max="2" width="14.7109375" style="3" customWidth="1"/>
    <col min="3" max="3" width="18.42578125" style="3" customWidth="1"/>
    <col min="4" max="4" width="18.140625" style="3" customWidth="1"/>
    <col min="5" max="6" width="11.42578125" style="3"/>
    <col min="7" max="7" width="30" style="3" bestFit="1" customWidth="1"/>
    <col min="8" max="16384" width="11.42578125" style="3"/>
  </cols>
  <sheetData>
    <row r="1" spans="1:8" s="7" customFormat="1" ht="20.25">
      <c r="A1" s="9" t="s">
        <v>0</v>
      </c>
      <c r="B1" s="1"/>
      <c r="C1" s="1"/>
      <c r="D1" s="1"/>
    </row>
    <row r="2" spans="1:8" s="8" customFormat="1" ht="15.75">
      <c r="A2" s="2" t="s">
        <v>1</v>
      </c>
      <c r="B2" s="2"/>
      <c r="C2" s="2"/>
      <c r="D2" s="2"/>
    </row>
    <row r="3" spans="1:8" s="8" customFormat="1" ht="15.75">
      <c r="A3" s="24" t="s">
        <v>2</v>
      </c>
      <c r="B3" s="2"/>
      <c r="C3" s="2"/>
      <c r="D3" s="2"/>
    </row>
    <row r="6" spans="1:8">
      <c r="A6" s="10" t="s">
        <v>3</v>
      </c>
      <c r="B6" s="6"/>
      <c r="C6" s="13"/>
      <c r="D6" s="14">
        <f>+C7</f>
        <v>12000</v>
      </c>
    </row>
    <row r="7" spans="1:8">
      <c r="A7" s="23" t="s">
        <v>4</v>
      </c>
      <c r="B7" s="4"/>
      <c r="C7" s="14">
        <v>12000</v>
      </c>
      <c r="D7" s="13"/>
    </row>
    <row r="8" spans="1:8">
      <c r="A8" s="4"/>
      <c r="B8" s="4"/>
      <c r="C8" s="13"/>
      <c r="D8" s="13"/>
    </row>
    <row r="9" spans="1:8">
      <c r="A9" s="4"/>
      <c r="B9" s="4"/>
      <c r="C9" s="13"/>
      <c r="D9" s="13"/>
    </row>
    <row r="10" spans="1:8">
      <c r="A10" s="23" t="s">
        <v>5</v>
      </c>
      <c r="B10" s="4"/>
      <c r="C10" s="15"/>
      <c r="D10" s="13"/>
    </row>
    <row r="11" spans="1:8">
      <c r="A11" s="10" t="s">
        <v>6</v>
      </c>
      <c r="B11" s="4"/>
      <c r="C11" s="15"/>
      <c r="D11" s="14">
        <f>+SUM(C12:C12)</f>
        <v>0</v>
      </c>
    </row>
    <row r="12" spans="1:8">
      <c r="A12" s="23" t="s">
        <v>7</v>
      </c>
      <c r="B12" s="23"/>
      <c r="C12" s="25">
        <v>0</v>
      </c>
      <c r="D12" s="13"/>
    </row>
    <row r="13" spans="1:8">
      <c r="A13" s="10" t="s">
        <v>8</v>
      </c>
      <c r="B13" s="4"/>
      <c r="C13" s="15"/>
      <c r="D13" s="14">
        <f>+SUM(C14:C16)</f>
        <v>6391.96</v>
      </c>
      <c r="G13" s="20"/>
      <c r="H13" s="21"/>
    </row>
    <row r="14" spans="1:8">
      <c r="A14" s="23" t="s">
        <v>9</v>
      </c>
      <c r="B14" s="4"/>
      <c r="C14" s="15">
        <v>1041.57</v>
      </c>
      <c r="D14" s="14"/>
      <c r="G14" s="20"/>
      <c r="H14" s="21"/>
    </row>
    <row r="15" spans="1:8">
      <c r="A15" s="23" t="s">
        <v>10</v>
      </c>
      <c r="B15" s="4"/>
      <c r="C15" s="16">
        <v>5350.39</v>
      </c>
      <c r="D15" s="17"/>
      <c r="G15" s="15"/>
      <c r="H15" s="15"/>
    </row>
    <row r="16" spans="1:8" hidden="1">
      <c r="A16" s="23" t="s">
        <v>10</v>
      </c>
      <c r="B16" s="4"/>
      <c r="C16" s="16">
        <v>0</v>
      </c>
      <c r="D16" s="17"/>
    </row>
    <row r="17" spans="1:8" s="12" customFormat="1">
      <c r="A17" s="23" t="s">
        <v>11</v>
      </c>
      <c r="B17" s="23"/>
      <c r="C17" s="26"/>
      <c r="D17" s="25">
        <f>+D6-D11-D13</f>
        <v>5608.04</v>
      </c>
      <c r="E17" s="22"/>
      <c r="F17" s="22"/>
      <c r="G17" s="22"/>
      <c r="H17" s="22"/>
    </row>
    <row r="18" spans="1:8" s="12" customFormat="1" hidden="1">
      <c r="A18" s="23"/>
      <c r="B18" s="23"/>
      <c r="C18" s="26"/>
      <c r="D18" s="25"/>
      <c r="E18" s="22"/>
      <c r="F18" s="22"/>
      <c r="G18" s="22"/>
      <c r="H18" s="22"/>
    </row>
    <row r="19" spans="1:8" s="12" customFormat="1" hidden="1">
      <c r="A19" s="23" t="s">
        <v>12</v>
      </c>
      <c r="B19" s="23"/>
      <c r="C19" s="26"/>
      <c r="D19" s="25">
        <v>102.08</v>
      </c>
      <c r="E19" s="22"/>
      <c r="F19" s="22"/>
      <c r="G19" s="22"/>
      <c r="H19" s="22"/>
    </row>
    <row r="20" spans="1:8" s="12" customFormat="1">
      <c r="A20" s="23"/>
      <c r="B20" s="23"/>
      <c r="C20" s="26"/>
      <c r="D20" s="25"/>
      <c r="E20" s="22"/>
      <c r="F20" s="22"/>
      <c r="G20" s="22"/>
      <c r="H20" s="22"/>
    </row>
    <row r="21" spans="1:8" s="12" customFormat="1">
      <c r="A21" s="23" t="s">
        <v>13</v>
      </c>
      <c r="B21" s="23"/>
      <c r="C21" s="26"/>
      <c r="D21" s="25">
        <f>IF(D17&lt;0,0,(+(D17+D19)*0))</f>
        <v>0</v>
      </c>
      <c r="E21" s="22"/>
      <c r="F21" s="22"/>
      <c r="G21" s="22" t="s">
        <v>14</v>
      </c>
      <c r="H21" s="22"/>
    </row>
    <row r="22" spans="1:8">
      <c r="A22" s="4"/>
      <c r="B22" s="4"/>
      <c r="C22" s="4"/>
      <c r="D22" s="4"/>
      <c r="G22" s="22" t="s">
        <v>15</v>
      </c>
      <c r="H22" s="15">
        <f>+D21</f>
        <v>0</v>
      </c>
    </row>
    <row r="23" spans="1:8" ht="13.5" thickBot="1">
      <c r="A23" s="11" t="s">
        <v>16</v>
      </c>
      <c r="B23" s="11"/>
      <c r="C23" s="11"/>
      <c r="D23" s="19">
        <f>+D17-D21</f>
        <v>5608.04</v>
      </c>
      <c r="G23" s="22" t="s">
        <v>17</v>
      </c>
      <c r="H23" s="15">
        <v>0</v>
      </c>
    </row>
    <row r="24" spans="1:8" ht="13.5" thickTop="1">
      <c r="A24" s="4"/>
      <c r="B24" s="4"/>
      <c r="C24" s="4"/>
      <c r="D24" s="4"/>
      <c r="G24" s="3" t="s">
        <v>18</v>
      </c>
      <c r="H24" s="18">
        <v>1434.35</v>
      </c>
    </row>
    <row r="25" spans="1:8">
      <c r="A25" s="4"/>
      <c r="B25" s="4"/>
      <c r="C25" s="4"/>
      <c r="D25" s="4"/>
      <c r="G25" s="22" t="s">
        <v>19</v>
      </c>
      <c r="H25" s="15">
        <f>+H22-H23-H24</f>
        <v>-1434.35</v>
      </c>
    </row>
    <row r="28" spans="1:8">
      <c r="A28" s="27" t="s">
        <v>20</v>
      </c>
      <c r="C28" s="28" t="s">
        <v>21</v>
      </c>
      <c r="D28" s="28"/>
    </row>
    <row r="29" spans="1:8">
      <c r="A29" s="20" t="s">
        <v>22</v>
      </c>
      <c r="C29" s="28" t="s">
        <v>23</v>
      </c>
      <c r="D29" s="28"/>
    </row>
    <row r="33" spans="1:4" ht="12" customHeight="1">
      <c r="A33" s="28" t="s">
        <v>24</v>
      </c>
      <c r="B33" s="28"/>
      <c r="C33" s="28"/>
      <c r="D33" s="28"/>
    </row>
    <row r="34" spans="1:4">
      <c r="A34" s="28" t="s">
        <v>25</v>
      </c>
      <c r="B34" s="28"/>
      <c r="C34" s="28"/>
      <c r="D34" s="28"/>
    </row>
    <row r="206" spans="1:1" ht="13.5" thickBot="1">
      <c r="A206" s="5"/>
    </row>
    <row r="207" spans="1:1" ht="13.5" thickTop="1"/>
  </sheetData>
  <mergeCells count="4">
    <mergeCell ref="C28:D28"/>
    <mergeCell ref="C29:D29"/>
    <mergeCell ref="A33:D33"/>
    <mergeCell ref="A34:D34"/>
  </mergeCells>
  <phoneticPr fontId="0" type="noConversion"/>
  <printOptions horizontalCentered="1"/>
  <pageMargins left="0" right="0" top="0.77" bottom="1" header="0" footer="0"/>
  <pageSetup orientation="portrait" horizontalDpi="36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7"/>
  <sheetViews>
    <sheetView showGridLines="0" tabSelected="1" topLeftCell="A6" workbookViewId="0">
      <selection activeCell="H23" sqref="H23"/>
    </sheetView>
  </sheetViews>
  <sheetFormatPr defaultColWidth="11.42578125" defaultRowHeight="12.75"/>
  <cols>
    <col min="1" max="1" width="35.7109375" style="3" customWidth="1"/>
    <col min="2" max="2" width="14.7109375" style="3" customWidth="1"/>
    <col min="3" max="3" width="18.42578125" style="3" customWidth="1"/>
    <col min="4" max="4" width="18.140625" style="3" customWidth="1"/>
    <col min="5" max="6" width="11.42578125" style="3"/>
    <col min="7" max="7" width="30" style="3" bestFit="1" customWidth="1"/>
    <col min="8" max="16384" width="11.42578125" style="3"/>
  </cols>
  <sheetData>
    <row r="1" spans="1:8" s="7" customFormat="1" ht="20.25">
      <c r="A1" s="9" t="s">
        <v>0</v>
      </c>
      <c r="B1" s="1"/>
      <c r="C1" s="1"/>
      <c r="D1" s="1"/>
    </row>
    <row r="2" spans="1:8" s="8" customFormat="1" ht="15.75">
      <c r="A2" s="2" t="s">
        <v>26</v>
      </c>
      <c r="B2" s="2"/>
      <c r="C2" s="2"/>
      <c r="D2" s="2"/>
    </row>
    <row r="3" spans="1:8" s="8" customFormat="1" ht="15.75">
      <c r="A3" s="24" t="s">
        <v>2</v>
      </c>
      <c r="B3" s="2"/>
      <c r="C3" s="2"/>
      <c r="D3" s="2"/>
    </row>
    <row r="6" spans="1:8">
      <c r="A6" s="10" t="s">
        <v>3</v>
      </c>
      <c r="B6" s="6"/>
      <c r="C6" s="13"/>
      <c r="D6" s="14">
        <f>+C7</f>
        <v>8849.56</v>
      </c>
    </row>
    <row r="7" spans="1:8">
      <c r="A7" s="23" t="s">
        <v>4</v>
      </c>
      <c r="B7" s="4"/>
      <c r="C7" s="14">
        <v>8849.56</v>
      </c>
      <c r="D7" s="13"/>
    </row>
    <row r="8" spans="1:8">
      <c r="A8" s="4"/>
      <c r="B8" s="4"/>
      <c r="C8" s="13"/>
      <c r="D8" s="13"/>
    </row>
    <row r="9" spans="1:8">
      <c r="A9" s="4"/>
      <c r="B9" s="4"/>
      <c r="C9" s="13"/>
      <c r="D9" s="13"/>
    </row>
    <row r="10" spans="1:8">
      <c r="A10" s="23" t="s">
        <v>5</v>
      </c>
      <c r="B10" s="4"/>
      <c r="C10" s="15"/>
      <c r="D10" s="13"/>
    </row>
    <row r="11" spans="1:8">
      <c r="A11" s="10" t="s">
        <v>6</v>
      </c>
      <c r="B11" s="4"/>
      <c r="C11" s="15"/>
      <c r="D11" s="14">
        <f>+SUM(C12:C12)</f>
        <v>11934.41</v>
      </c>
    </row>
    <row r="12" spans="1:8">
      <c r="A12" s="23" t="s">
        <v>7</v>
      </c>
      <c r="B12" s="23"/>
      <c r="C12" s="25">
        <v>11934.41</v>
      </c>
      <c r="D12" s="13"/>
    </row>
    <row r="13" spans="1:8">
      <c r="A13" s="10" t="s">
        <v>8</v>
      </c>
      <c r="B13" s="4"/>
      <c r="C13" s="15"/>
      <c r="D13" s="14">
        <f>+SUM(C14:C16)</f>
        <v>463.25</v>
      </c>
      <c r="G13" s="20"/>
      <c r="H13" s="21"/>
    </row>
    <row r="14" spans="1:8">
      <c r="A14" s="23" t="s">
        <v>9</v>
      </c>
      <c r="B14" s="4"/>
      <c r="C14" s="30">
        <v>463.25</v>
      </c>
      <c r="D14" s="29"/>
      <c r="G14" s="20"/>
      <c r="H14" s="21"/>
    </row>
    <row r="15" spans="1:8" hidden="1">
      <c r="A15" s="23" t="s">
        <v>10</v>
      </c>
      <c r="B15" s="4"/>
      <c r="C15" s="16">
        <v>0</v>
      </c>
      <c r="D15" s="17"/>
      <c r="G15" s="15"/>
      <c r="H15" s="15"/>
    </row>
    <row r="16" spans="1:8" hidden="1">
      <c r="A16" s="23" t="s">
        <v>10</v>
      </c>
      <c r="B16" s="4"/>
      <c r="C16" s="16">
        <v>0</v>
      </c>
      <c r="D16" s="17"/>
    </row>
    <row r="17" spans="1:8" s="12" customFormat="1">
      <c r="A17" s="23" t="s">
        <v>27</v>
      </c>
      <c r="B17" s="23"/>
      <c r="C17" s="26"/>
      <c r="D17" s="25">
        <f>+D6-D11-D13</f>
        <v>-3548.1000000000004</v>
      </c>
      <c r="E17" s="22"/>
      <c r="F17" s="22"/>
      <c r="G17" s="22"/>
      <c r="H17" s="22"/>
    </row>
    <row r="18" spans="1:8" s="12" customFormat="1" hidden="1">
      <c r="A18" s="23"/>
      <c r="B18" s="23"/>
      <c r="C18" s="26"/>
      <c r="D18" s="25"/>
      <c r="E18" s="22"/>
      <c r="F18" s="22"/>
      <c r="G18" s="22"/>
      <c r="H18" s="22"/>
    </row>
    <row r="19" spans="1:8" s="12" customFormat="1" hidden="1">
      <c r="A19" s="23" t="s">
        <v>12</v>
      </c>
      <c r="B19" s="23"/>
      <c r="C19" s="26"/>
      <c r="D19" s="25">
        <v>101.47</v>
      </c>
      <c r="E19" s="22"/>
      <c r="F19" s="22"/>
      <c r="G19" s="22"/>
      <c r="H19" s="22"/>
    </row>
    <row r="20" spans="1:8" s="12" customFormat="1">
      <c r="A20" s="23"/>
      <c r="B20" s="23"/>
      <c r="C20" s="26"/>
      <c r="D20" s="25"/>
      <c r="E20" s="22"/>
      <c r="F20" s="22"/>
      <c r="G20" s="22"/>
      <c r="H20" s="22"/>
    </row>
    <row r="21" spans="1:8" s="12" customFormat="1">
      <c r="A21" s="23" t="s">
        <v>13</v>
      </c>
      <c r="B21" s="23"/>
      <c r="C21" s="26"/>
      <c r="D21" s="25">
        <f>IF(D17&lt;0,0,(+(D17+D19)*0.25))</f>
        <v>0</v>
      </c>
      <c r="E21" s="22"/>
      <c r="F21" s="22"/>
      <c r="G21" s="22" t="s">
        <v>14</v>
      </c>
      <c r="H21" s="22"/>
    </row>
    <row r="22" spans="1:8">
      <c r="A22" s="4"/>
      <c r="B22" s="4"/>
      <c r="C22" s="4"/>
      <c r="D22" s="4"/>
      <c r="G22" s="22" t="s">
        <v>28</v>
      </c>
      <c r="H22" s="15">
        <f>+D21</f>
        <v>0</v>
      </c>
    </row>
    <row r="23" spans="1:8" ht="13.5" thickBot="1">
      <c r="A23" s="11" t="s">
        <v>29</v>
      </c>
      <c r="B23" s="11"/>
      <c r="C23" s="11"/>
      <c r="D23" s="19">
        <f>+D17-D21</f>
        <v>-3548.1000000000004</v>
      </c>
      <c r="G23" s="22" t="s">
        <v>17</v>
      </c>
      <c r="H23" s="15">
        <v>154.87</v>
      </c>
    </row>
    <row r="24" spans="1:8" ht="13.5" thickTop="1">
      <c r="A24" s="4"/>
      <c r="B24" s="4"/>
      <c r="C24" s="4"/>
      <c r="D24" s="4"/>
      <c r="G24" s="3" t="s">
        <v>18</v>
      </c>
      <c r="H24" s="18">
        <v>1434.35</v>
      </c>
    </row>
    <row r="25" spans="1:8">
      <c r="A25" s="4"/>
      <c r="B25" s="4"/>
      <c r="C25" s="4"/>
      <c r="D25" s="4"/>
      <c r="G25" s="22" t="s">
        <v>19</v>
      </c>
      <c r="H25" s="15">
        <f>+H22-H23-H24</f>
        <v>-1589.2199999999998</v>
      </c>
    </row>
    <row r="28" spans="1:8">
      <c r="A28" s="27" t="s">
        <v>20</v>
      </c>
      <c r="C28" s="28" t="s">
        <v>21</v>
      </c>
      <c r="D28" s="28"/>
    </row>
    <row r="29" spans="1:8">
      <c r="A29" s="20" t="s">
        <v>22</v>
      </c>
      <c r="C29" s="28" t="s">
        <v>23</v>
      </c>
      <c r="D29" s="28"/>
    </row>
    <row r="33" spans="1:4" ht="12" customHeight="1">
      <c r="A33" s="28" t="s">
        <v>24</v>
      </c>
      <c r="B33" s="28"/>
      <c r="C33" s="28"/>
      <c r="D33" s="28"/>
    </row>
    <row r="34" spans="1:4">
      <c r="A34" s="28" t="s">
        <v>25</v>
      </c>
      <c r="B34" s="28"/>
      <c r="C34" s="28"/>
      <c r="D34" s="28"/>
    </row>
    <row r="206" spans="1:1" ht="13.5" thickBot="1">
      <c r="A206" s="5"/>
    </row>
    <row r="207" spans="1:1" ht="13.5" thickTop="1"/>
  </sheetData>
  <mergeCells count="4">
    <mergeCell ref="C28:D28"/>
    <mergeCell ref="C29:D29"/>
    <mergeCell ref="A33:D33"/>
    <mergeCell ref="A34:D34"/>
  </mergeCells>
  <printOptions horizontalCentered="1"/>
  <pageMargins left="0" right="0" top="0.77" bottom="1" header="0" footer="0"/>
  <pageSetup orientation="portrait" horizontalDpi="360" verticalDpi="144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e7f273-b714-401b-905f-53481aee3273" xsi:nil="true"/>
    <lcf76f155ced4ddcb4097134ff3c332f xmlns="8a2bc7ff-4258-4d5c-9304-6b26cb5a4e0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F46416659BA74987BCE302007A318E" ma:contentTypeVersion="15" ma:contentTypeDescription="Crear nuevo documento." ma:contentTypeScope="" ma:versionID="8b35513354af63e986345b5409b9f70e">
  <xsd:schema xmlns:xsd="http://www.w3.org/2001/XMLSchema" xmlns:xs="http://www.w3.org/2001/XMLSchema" xmlns:p="http://schemas.microsoft.com/office/2006/metadata/properties" xmlns:ns2="2ae7f273-b714-401b-905f-53481aee3273" xmlns:ns3="8a2bc7ff-4258-4d5c-9304-6b26cb5a4e07" targetNamespace="http://schemas.microsoft.com/office/2006/metadata/properties" ma:root="true" ma:fieldsID="4d8dd5c07f5e85c62b4b08b15642a980" ns2:_="" ns3:_="">
    <xsd:import namespace="2ae7f273-b714-401b-905f-53481aee3273"/>
    <xsd:import namespace="8a2bc7ff-4258-4d5c-9304-6b26cb5a4e0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7f273-b714-401b-905f-53481aee32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91734ea-545c-4c2b-8aaf-f4606096c0dc}" ma:internalName="TaxCatchAll" ma:showField="CatchAllData" ma:web="2ae7f273-b714-401b-905f-53481aee32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2bc7ff-4258-4d5c-9304-6b26cb5a4e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4400971d-75bb-4dae-a32f-3edd0b98a9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4A4589-433A-4730-B27D-AEB1738BF925}"/>
</file>

<file path=customXml/itemProps2.xml><?xml version="1.0" encoding="utf-8"?>
<ds:datastoreItem xmlns:ds="http://schemas.openxmlformats.org/officeDocument/2006/customXml" ds:itemID="{C37DD923-2924-469E-921A-881B920728FC}"/>
</file>

<file path=customXml/itemProps3.xml><?xml version="1.0" encoding="utf-8"?>
<ds:datastoreItem xmlns:ds="http://schemas.openxmlformats.org/officeDocument/2006/customXml" ds:itemID="{153D98FF-A3E0-4210-99F4-28F7E3DE17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Elmer W. Rodríguez</dc:creator>
  <cp:keywords/>
  <dc:description/>
  <cp:lastModifiedBy>Ronny Chávez</cp:lastModifiedBy>
  <cp:revision/>
  <dcterms:created xsi:type="dcterms:W3CDTF">1998-09-29T12:24:58Z</dcterms:created>
  <dcterms:modified xsi:type="dcterms:W3CDTF">2026-04-26T23:51:56Z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0x010100F3F46416659BA74987BCE302007A318E</vt:lpwstr>
  </property>
  <property fmtid="{D5CDD505-2E9C-101B-9397-08002B2CF9AE}" pid="3" name="MediaServiceImageTags">
    <vt:lpwstr/>
  </property>
</Properties>
</file>