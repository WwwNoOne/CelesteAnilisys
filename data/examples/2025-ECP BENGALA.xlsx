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24226"/>
  <xr:revisionPtr revIDLastSave="0" documentId="11_426520C0D732C5AA831C70B8D8977365D023954A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PATRIMONIO 2017" sheetId="1" state="hidden" r:id="rId1"/>
    <sheet name="PATRIMONIO 2018" sheetId="2" state="hidden" r:id="rId2"/>
    <sheet name="PATRIMONIO 2024" sheetId="3" r:id="rId3"/>
    <sheet name="PATRIMONIO 2025" sheetId="4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4" l="1"/>
  <c r="H20" i="4"/>
  <c r="B20" i="4"/>
  <c r="F15" i="4"/>
  <c r="D15" i="4"/>
  <c r="B25" i="4"/>
  <c r="H11" i="4"/>
  <c r="H9" i="4"/>
  <c r="H7" i="4"/>
  <c r="H15" i="4" s="1"/>
  <c r="H25" i="4" s="1"/>
  <c r="H20" i="3" l="1"/>
  <c r="B20" i="3"/>
  <c r="F15" i="3"/>
  <c r="D15" i="3"/>
  <c r="B15" i="3"/>
  <c r="B25" i="3"/>
  <c r="H13" i="3"/>
  <c r="H11" i="3"/>
  <c r="H9" i="3"/>
  <c r="H7" i="3"/>
  <c r="H20" i="2"/>
  <c r="B20" i="2"/>
  <c r="F15" i="2"/>
  <c r="D15" i="2"/>
  <c r="B15" i="2"/>
  <c r="B25" i="2"/>
  <c r="H13" i="2"/>
  <c r="H11" i="2"/>
  <c r="H9" i="2"/>
  <c r="H7" i="2"/>
  <c r="H15" i="2"/>
  <c r="H25" i="2"/>
  <c r="H9" i="1"/>
  <c r="B15" i="1"/>
  <c r="B25" i="1"/>
  <c r="H20" i="1"/>
  <c r="B20" i="1"/>
  <c r="F15" i="1"/>
  <c r="H13" i="1"/>
  <c r="H7" i="1"/>
  <c r="H15" i="1"/>
  <c r="H25" i="1"/>
  <c r="H11" i="1"/>
  <c r="D15" i="1"/>
  <c r="H15" i="3"/>
  <c r="H25" i="3"/>
</calcChain>
</file>

<file path=xl/sharedStrings.xml><?xml version="1.0" encoding="utf-8"?>
<sst xmlns="http://schemas.openxmlformats.org/spreadsheetml/2006/main" count="100" uniqueCount="35">
  <si>
    <t>BENGALA AUDIVISUAL, S.A. DE C.V.</t>
  </si>
  <si>
    <t>Estado de Cambio en el Patriminio al 31 de Diciembre de 2017</t>
  </si>
  <si>
    <t>(VALORES EXPRESADOS EN DOLARES DE LOS ESTADOS UNIDOS DE  AMERICA)</t>
  </si>
  <si>
    <t>PATRIMONIO</t>
  </si>
  <si>
    <t>SALDO AL 31/12/2016</t>
  </si>
  <si>
    <t>AUMENTO</t>
  </si>
  <si>
    <t>DISMINUCION</t>
  </si>
  <si>
    <t>SALDO AL 31/12/2017</t>
  </si>
  <si>
    <t>CAPITAL SOCIAL</t>
  </si>
  <si>
    <t>RESERVA LEGAL</t>
  </si>
  <si>
    <t>UTILIDADES ACUMULADAS</t>
  </si>
  <si>
    <t>DEFICIT ACUMULADO</t>
  </si>
  <si>
    <t>TOTAL</t>
  </si>
  <si>
    <t>SALDO FORMADO POR:</t>
  </si>
  <si>
    <t>Utilidades Ejercicios 2012</t>
  </si>
  <si>
    <t>NÚMERO DE ACCIONES DE</t>
  </si>
  <si>
    <t>$100.00 VALOR NOMINAL</t>
  </si>
  <si>
    <t>VALOR CONTABLE POR ACCIÓN</t>
  </si>
  <si>
    <t>GUSTAVO ADOLFO PERDOMO RODAS</t>
  </si>
  <si>
    <t>LIC. RONNY ALEXIS CHAVEZ SANTOS</t>
  </si>
  <si>
    <t>REPRESENTANTE LEGAL</t>
  </si>
  <si>
    <t>CONTADOR</t>
  </si>
  <si>
    <t>LIC. JUAN CARLOS MIRA JORGE</t>
  </si>
  <si>
    <t>AUDITOR EXTERNO</t>
  </si>
  <si>
    <t>No. Reg. 4766</t>
  </si>
  <si>
    <t>BENGALA AUDIOVISUAL, S.A. DE C.V.</t>
  </si>
  <si>
    <t>Estado de Cambio en el Patrimonio al 31 de Diciembre de 2018</t>
  </si>
  <si>
    <t>SALDO AL 31/12/2018</t>
  </si>
  <si>
    <t>GABRIEL PERDOMO RODAS</t>
  </si>
  <si>
    <t>Estado de Cambio en el Patrimonio al 31 de diciembre de 2024</t>
  </si>
  <si>
    <t>(VALORES EXPRESADOS EN DOLARES DE LOS ESTADOS UNIDOS DE AMERICA)</t>
  </si>
  <si>
    <t>SALDO AL 31/12/2023</t>
  </si>
  <si>
    <t>SALDO AL 31/12/2024</t>
  </si>
  <si>
    <t>Estado de Cambio en el Patrimonio al 31 de diciembre de 2025</t>
  </si>
  <si>
    <t>SALDO AL 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</si>
</sst>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¢&quot;* #,##0_);_(&quot;¢&quot;* \(#,##0\);_(&quot;¢&quot;* &quot;-&quot;_);_(@_)"/>
  </numFmts>
  <fonts count="8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2">
    <xf numFmtId="0" fontId="0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5" fillId="0" borderId="0"/>
  </cellStyleXfs>
  <cellXfs count="16">
    <xf numFmtId="0" fontId="0" fillId="0" borderId="0" xfId="0"/>
    <xf numFmtId="0" fontId="5" fillId="0" borderId="0" xfId="11"/>
    <xf numFmtId="0" fontId="6" fillId="0" borderId="0" xfId="11" applyFont="1"/>
    <xf numFmtId="0" fontId="7" fillId="0" borderId="0" xfId="11" applyFont="1" applyAlignment="1">
      <alignment horizontal="center"/>
    </xf>
    <xf numFmtId="0" fontId="6" fillId="0" borderId="0" xfId="11" applyFont="1" applyAlignment="1">
      <alignment horizontal="center"/>
    </xf>
    <xf numFmtId="164" fontId="5" fillId="0" borderId="0" xfId="7" applyFont="1"/>
    <xf numFmtId="164" fontId="5" fillId="0" borderId="1" xfId="7" applyFont="1" applyBorder="1"/>
    <xf numFmtId="164" fontId="5" fillId="0" borderId="0" xfId="7" applyFont="1" applyBorder="1"/>
    <xf numFmtId="164" fontId="5" fillId="0" borderId="2" xfId="7" applyFont="1" applyBorder="1"/>
    <xf numFmtId="164" fontId="5" fillId="0" borderId="3" xfId="7" applyFont="1" applyBorder="1"/>
    <xf numFmtId="164" fontId="5" fillId="0" borderId="4" xfId="7" applyFont="1" applyBorder="1"/>
    <xf numFmtId="0" fontId="4" fillId="0" borderId="0" xfId="0" applyFont="1"/>
    <xf numFmtId="0" fontId="5" fillId="0" borderId="0" xfId="11" applyAlignment="1">
      <alignment horizontal="center"/>
    </xf>
    <xf numFmtId="0" fontId="5" fillId="0" borderId="1" xfId="11" applyBorder="1" applyAlignment="1">
      <alignment horizontal="center"/>
    </xf>
    <xf numFmtId="0" fontId="1" fillId="0" borderId="0" xfId="11" applyFont="1" applyAlignment="1">
      <alignment horizontal="center"/>
    </xf>
    <xf numFmtId="0" fontId="0" fillId="0" borderId="0" xfId="11" applyFont="1" applyAlignment="1">
      <alignment horizontal="center"/>
    </xf>
  </cellXfs>
  <cellStyles count="12">
    <cellStyle name="Millares 2" xfId="1" xr:uid="{00000000-0005-0000-0000-000000000000}"/>
    <cellStyle name="Millares 3" xfId="2" xr:uid="{00000000-0005-0000-0000-000001000000}"/>
    <cellStyle name="Millares 4" xfId="3" xr:uid="{00000000-0005-0000-0000-000002000000}"/>
    <cellStyle name="Moneda [0] 2" xfId="4" xr:uid="{00000000-0005-0000-0000-000003000000}"/>
    <cellStyle name="Moneda [0] 3" xfId="5" xr:uid="{00000000-0005-0000-0000-000004000000}"/>
    <cellStyle name="Moneda [0] 4" xfId="6" xr:uid="{00000000-0005-0000-0000-000005000000}"/>
    <cellStyle name="Moneda 2" xfId="7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  <cellStyle name="Normal 4" xfId="10" xr:uid="{00000000-0005-0000-0000-00000A000000}"/>
    <cellStyle name="Normal 5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1"/>
  <sheetViews>
    <sheetView showGridLines="0" workbookViewId="0">
      <selection activeCell="F17" sqref="F17"/>
    </sheetView>
  </sheetViews>
  <sheetFormatPr defaultColWidth="11.42578125" defaultRowHeight="15"/>
  <cols>
    <col min="1" max="1" width="29" style="1" customWidth="1"/>
    <col min="2" max="2" width="15.28515625" style="1" customWidth="1"/>
    <col min="3" max="3" width="5.7109375" style="1" customWidth="1"/>
    <col min="4" max="4" width="15.28515625" style="1" customWidth="1"/>
    <col min="5" max="5" width="5.7109375" style="1" customWidth="1"/>
    <col min="6" max="6" width="15.28515625" style="1" customWidth="1"/>
    <col min="7" max="7" width="5.7109375" style="1" customWidth="1"/>
    <col min="8" max="8" width="15.28515625" style="1" customWidth="1"/>
    <col min="9" max="16384" width="11.42578125" style="1"/>
  </cols>
  <sheetData>
    <row r="1" spans="1:8" ht="18">
      <c r="A1" s="14" t="s">
        <v>0</v>
      </c>
      <c r="B1" s="14"/>
      <c r="C1" s="14"/>
      <c r="D1" s="14"/>
      <c r="E1" s="14"/>
      <c r="F1" s="14"/>
      <c r="G1" s="14"/>
      <c r="H1" s="14"/>
    </row>
    <row r="2" spans="1:8">
      <c r="A2" s="12" t="s">
        <v>1</v>
      </c>
      <c r="B2" s="12"/>
      <c r="C2" s="12"/>
      <c r="D2" s="12"/>
      <c r="E2" s="12"/>
      <c r="F2" s="12"/>
      <c r="G2" s="12"/>
      <c r="H2" s="12"/>
    </row>
    <row r="3" spans="1:8">
      <c r="A3" s="12" t="s">
        <v>2</v>
      </c>
      <c r="B3" s="12"/>
      <c r="C3" s="12"/>
      <c r="D3" s="12"/>
      <c r="E3" s="12"/>
      <c r="F3" s="12"/>
      <c r="G3" s="12"/>
      <c r="H3" s="12"/>
    </row>
    <row r="5" spans="1:8">
      <c r="A5" s="2" t="s">
        <v>3</v>
      </c>
      <c r="B5" s="3" t="s">
        <v>4</v>
      </c>
      <c r="C5" s="4"/>
      <c r="D5" s="3" t="s">
        <v>5</v>
      </c>
      <c r="E5" s="4"/>
      <c r="F5" s="3" t="s">
        <v>6</v>
      </c>
      <c r="G5" s="4"/>
      <c r="H5" s="3" t="s">
        <v>7</v>
      </c>
    </row>
    <row r="7" spans="1:8">
      <c r="A7" s="1" t="s">
        <v>8</v>
      </c>
      <c r="B7" s="5">
        <v>2000</v>
      </c>
      <c r="C7" s="5"/>
      <c r="D7" s="5">
        <v>0</v>
      </c>
      <c r="E7" s="5"/>
      <c r="F7" s="5">
        <v>0</v>
      </c>
      <c r="G7" s="5"/>
      <c r="H7" s="5">
        <f>+SUM(B7:F7)</f>
        <v>2000</v>
      </c>
    </row>
    <row r="8" spans="1:8">
      <c r="B8" s="5"/>
      <c r="C8" s="5"/>
      <c r="D8" s="5"/>
      <c r="E8" s="5"/>
      <c r="F8" s="5"/>
      <c r="G8" s="5"/>
      <c r="H8" s="5"/>
    </row>
    <row r="9" spans="1:8">
      <c r="A9" s="1" t="s">
        <v>9</v>
      </c>
      <c r="B9" s="5">
        <v>400</v>
      </c>
      <c r="C9" s="5"/>
      <c r="D9" s="5">
        <v>0</v>
      </c>
      <c r="E9" s="5"/>
      <c r="F9" s="5">
        <v>0</v>
      </c>
      <c r="G9" s="5"/>
      <c r="H9" s="5">
        <f>+SUM(B9:F9)</f>
        <v>400</v>
      </c>
    </row>
    <row r="10" spans="1:8">
      <c r="B10" s="5"/>
      <c r="C10" s="5"/>
      <c r="D10" s="5"/>
      <c r="E10" s="5"/>
      <c r="F10" s="5"/>
      <c r="G10" s="5"/>
      <c r="H10" s="5"/>
    </row>
    <row r="11" spans="1:8">
      <c r="A11" s="1" t="s">
        <v>10</v>
      </c>
      <c r="B11" s="5">
        <v>4862.2400000000007</v>
      </c>
      <c r="C11" s="5"/>
      <c r="D11" s="5">
        <v>0</v>
      </c>
      <c r="E11" s="5"/>
      <c r="F11" s="5">
        <v>0</v>
      </c>
      <c r="G11" s="5"/>
      <c r="H11" s="5">
        <f>+SUM(B11:F11)</f>
        <v>4862.2400000000007</v>
      </c>
    </row>
    <row r="12" spans="1:8">
      <c r="B12" s="5"/>
      <c r="C12" s="5"/>
      <c r="D12" s="5"/>
      <c r="E12" s="5"/>
      <c r="F12" s="5"/>
      <c r="G12" s="5"/>
      <c r="H12" s="5"/>
    </row>
    <row r="13" spans="1:8">
      <c r="A13" s="1" t="s">
        <v>11</v>
      </c>
      <c r="B13" s="6">
        <v>-3062.39</v>
      </c>
      <c r="C13" s="7"/>
      <c r="D13" s="6">
        <v>-3966.08</v>
      </c>
      <c r="E13" s="5"/>
      <c r="F13" s="6">
        <v>0</v>
      </c>
      <c r="G13" s="5"/>
      <c r="H13" s="6">
        <f>+SUM(B13:F13)</f>
        <v>-7028.4699999999993</v>
      </c>
    </row>
    <row r="14" spans="1:8">
      <c r="B14" s="7"/>
      <c r="C14" s="7"/>
      <c r="D14" s="7"/>
      <c r="E14" s="7"/>
      <c r="F14" s="7"/>
      <c r="G14" s="7"/>
      <c r="H14" s="7"/>
    </row>
    <row r="15" spans="1:8" ht="15.75" thickBot="1">
      <c r="A15" s="1" t="s">
        <v>12</v>
      </c>
      <c r="B15" s="8">
        <f>+SUM(B6:B13)</f>
        <v>4199.8500000000004</v>
      </c>
      <c r="C15" s="5"/>
      <c r="D15" s="8">
        <f>+SUM(D6:D13)</f>
        <v>-3966.08</v>
      </c>
      <c r="E15" s="5"/>
      <c r="F15" s="8">
        <f>+SUM(F6:F13)</f>
        <v>0</v>
      </c>
      <c r="G15" s="5"/>
      <c r="H15" s="8">
        <f>+SUM(H6:H13)</f>
        <v>233.77000000000135</v>
      </c>
    </row>
    <row r="16" spans="1:8" ht="15.75" thickTop="1">
      <c r="B16" s="5"/>
      <c r="C16" s="5"/>
      <c r="D16" s="5"/>
      <c r="E16" s="5"/>
      <c r="F16" s="5"/>
      <c r="G16" s="5"/>
      <c r="H16" s="5"/>
    </row>
    <row r="17" spans="1:8">
      <c r="B17" s="5"/>
      <c r="C17" s="5"/>
      <c r="D17" s="5"/>
      <c r="E17" s="5"/>
      <c r="F17" s="5"/>
      <c r="G17" s="5"/>
      <c r="H17" s="5"/>
    </row>
    <row r="18" spans="1:8" hidden="1">
      <c r="A18" s="1" t="s">
        <v>13</v>
      </c>
      <c r="B18" s="5"/>
      <c r="C18" s="5"/>
      <c r="D18" s="5"/>
      <c r="E18" s="5"/>
      <c r="F18" s="5"/>
      <c r="G18" s="5"/>
      <c r="H18" s="5"/>
    </row>
    <row r="19" spans="1:8" hidden="1">
      <c r="A19" s="1" t="s">
        <v>14</v>
      </c>
      <c r="B19" s="5">
        <v>82.62</v>
      </c>
      <c r="C19" s="5"/>
      <c r="D19" s="5"/>
      <c r="E19" s="5"/>
      <c r="F19" s="5"/>
      <c r="G19" s="5"/>
      <c r="H19" s="5">
        <v>82.62</v>
      </c>
    </row>
    <row r="20" spans="1:8" ht="15.75" hidden="1" thickBot="1">
      <c r="B20" s="9">
        <f>+SUM(B19)</f>
        <v>82.62</v>
      </c>
      <c r="C20" s="5"/>
      <c r="D20" s="5"/>
      <c r="E20" s="5"/>
      <c r="F20" s="5"/>
      <c r="G20" s="5"/>
      <c r="H20" s="9">
        <f>+SUM(H19)</f>
        <v>82.62</v>
      </c>
    </row>
    <row r="21" spans="1:8" hidden="1"/>
    <row r="22" spans="1:8" hidden="1"/>
    <row r="23" spans="1:8" hidden="1">
      <c r="A23" s="1" t="s">
        <v>15</v>
      </c>
    </row>
    <row r="24" spans="1:8" hidden="1">
      <c r="A24" s="1" t="s">
        <v>16</v>
      </c>
      <c r="B24" s="1">
        <v>120</v>
      </c>
      <c r="H24" s="1">
        <v>120</v>
      </c>
    </row>
    <row r="25" spans="1:8" ht="15.75" hidden="1" thickBot="1">
      <c r="A25" s="1" t="s">
        <v>17</v>
      </c>
      <c r="B25" s="10">
        <f>+B15/B24</f>
        <v>34.998750000000001</v>
      </c>
      <c r="H25" s="10">
        <f>+H15/H24</f>
        <v>1.9480833333333445</v>
      </c>
    </row>
    <row r="26" spans="1:8" hidden="1"/>
    <row r="27" spans="1:8" hidden="1"/>
    <row r="28" spans="1:8" hidden="1"/>
    <row r="32" spans="1:8">
      <c r="A32" s="13"/>
      <c r="B32" s="13"/>
      <c r="F32" s="13"/>
      <c r="G32" s="13"/>
      <c r="H32" s="13"/>
    </row>
    <row r="33" spans="1:13">
      <c r="A33" s="12" t="s">
        <v>18</v>
      </c>
      <c r="B33" s="12"/>
      <c r="F33" s="12" t="s">
        <v>19</v>
      </c>
      <c r="G33" s="12"/>
      <c r="H33" s="12"/>
    </row>
    <row r="34" spans="1:13">
      <c r="A34" s="12" t="s">
        <v>20</v>
      </c>
      <c r="B34" s="12"/>
      <c r="F34" s="12" t="s">
        <v>21</v>
      </c>
      <c r="G34" s="12"/>
      <c r="H34" s="12"/>
    </row>
    <row r="38" spans="1:13">
      <c r="B38" s="13"/>
      <c r="C38" s="13"/>
      <c r="D38" s="13"/>
      <c r="E38" s="13"/>
      <c r="F38" s="13"/>
      <c r="M38" s="11"/>
    </row>
    <row r="39" spans="1:13">
      <c r="B39" s="12" t="s">
        <v>22</v>
      </c>
      <c r="C39" s="12"/>
      <c r="D39" s="12"/>
      <c r="E39" s="12"/>
      <c r="F39" s="12"/>
      <c r="L39" s="11"/>
      <c r="M39" s="11"/>
    </row>
    <row r="40" spans="1:13">
      <c r="B40" s="12" t="s">
        <v>23</v>
      </c>
      <c r="C40" s="12"/>
      <c r="D40" s="12"/>
      <c r="E40" s="12"/>
      <c r="F40" s="12"/>
    </row>
    <row r="41" spans="1:13">
      <c r="D41" s="1" t="s">
        <v>24</v>
      </c>
    </row>
  </sheetData>
  <mergeCells count="12">
    <mergeCell ref="B39:F39"/>
    <mergeCell ref="B40:F40"/>
    <mergeCell ref="A1:H1"/>
    <mergeCell ref="A2:H2"/>
    <mergeCell ref="A3:H3"/>
    <mergeCell ref="A32:B32"/>
    <mergeCell ref="F32:H32"/>
    <mergeCell ref="A33:B33"/>
    <mergeCell ref="F33:H33"/>
    <mergeCell ref="A34:B34"/>
    <mergeCell ref="F34:H34"/>
    <mergeCell ref="B38:F38"/>
  </mergeCells>
  <printOptions horizontalCentered="1"/>
  <pageMargins left="0.7" right="0.7" top="0.75" bottom="0.5" header="0.3" footer="0.3"/>
  <pageSetup orientation="landscape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1"/>
  <sheetViews>
    <sheetView showGridLines="0" workbookViewId="0">
      <selection activeCell="B12" sqref="B12"/>
    </sheetView>
  </sheetViews>
  <sheetFormatPr defaultColWidth="11.42578125" defaultRowHeight="15"/>
  <cols>
    <col min="1" max="1" width="29" style="1" customWidth="1"/>
    <col min="2" max="2" width="15.28515625" style="1" customWidth="1"/>
    <col min="3" max="3" width="5.7109375" style="1" customWidth="1"/>
    <col min="4" max="4" width="15.28515625" style="1" customWidth="1"/>
    <col min="5" max="5" width="5.7109375" style="1" customWidth="1"/>
    <col min="6" max="6" width="15.28515625" style="1" customWidth="1"/>
    <col min="7" max="7" width="5.7109375" style="1" customWidth="1"/>
    <col min="8" max="8" width="15.28515625" style="1" customWidth="1"/>
    <col min="9" max="16384" width="11.42578125" style="1"/>
  </cols>
  <sheetData>
    <row r="1" spans="1:8" ht="18">
      <c r="A1" s="14" t="s">
        <v>25</v>
      </c>
      <c r="B1" s="14"/>
      <c r="C1" s="14"/>
      <c r="D1" s="14"/>
      <c r="E1" s="14"/>
      <c r="F1" s="14"/>
      <c r="G1" s="14"/>
      <c r="H1" s="14"/>
    </row>
    <row r="2" spans="1:8">
      <c r="A2" s="12" t="s">
        <v>26</v>
      </c>
      <c r="B2" s="12"/>
      <c r="C2" s="12"/>
      <c r="D2" s="12"/>
      <c r="E2" s="12"/>
      <c r="F2" s="12"/>
      <c r="G2" s="12"/>
      <c r="H2" s="12"/>
    </row>
    <row r="3" spans="1:8">
      <c r="A3" s="12" t="s">
        <v>2</v>
      </c>
      <c r="B3" s="12"/>
      <c r="C3" s="12"/>
      <c r="D3" s="12"/>
      <c r="E3" s="12"/>
      <c r="F3" s="12"/>
      <c r="G3" s="12"/>
      <c r="H3" s="12"/>
    </row>
    <row r="5" spans="1:8">
      <c r="A5" s="2" t="s">
        <v>3</v>
      </c>
      <c r="B5" s="3" t="s">
        <v>7</v>
      </c>
      <c r="C5" s="4"/>
      <c r="D5" s="3" t="s">
        <v>5</v>
      </c>
      <c r="E5" s="4"/>
      <c r="F5" s="3" t="s">
        <v>6</v>
      </c>
      <c r="G5" s="4"/>
      <c r="H5" s="3" t="s">
        <v>27</v>
      </c>
    </row>
    <row r="7" spans="1:8">
      <c r="A7" s="1" t="s">
        <v>8</v>
      </c>
      <c r="B7" s="5">
        <v>2000</v>
      </c>
      <c r="C7" s="5"/>
      <c r="D7" s="5">
        <v>0</v>
      </c>
      <c r="E7" s="5"/>
      <c r="F7" s="5">
        <v>0</v>
      </c>
      <c r="G7" s="5"/>
      <c r="H7" s="5">
        <f>+SUM(B7:F7)</f>
        <v>2000</v>
      </c>
    </row>
    <row r="8" spans="1:8">
      <c r="B8" s="5"/>
      <c r="C8" s="5"/>
      <c r="D8" s="5"/>
      <c r="E8" s="5"/>
      <c r="F8" s="5"/>
      <c r="G8" s="5"/>
      <c r="H8" s="5"/>
    </row>
    <row r="9" spans="1:8">
      <c r="A9" s="1" t="s">
        <v>9</v>
      </c>
      <c r="B9" s="5">
        <v>400</v>
      </c>
      <c r="C9" s="5"/>
      <c r="D9" s="5">
        <v>0</v>
      </c>
      <c r="E9" s="5"/>
      <c r="F9" s="5">
        <v>0</v>
      </c>
      <c r="G9" s="5"/>
      <c r="H9" s="5">
        <f>+SUM(B9:F9)</f>
        <v>400</v>
      </c>
    </row>
    <row r="10" spans="1:8">
      <c r="B10" s="5"/>
      <c r="C10" s="5"/>
      <c r="D10" s="5"/>
      <c r="E10" s="5"/>
      <c r="F10" s="5"/>
      <c r="G10" s="5"/>
      <c r="H10" s="5"/>
    </row>
    <row r="11" spans="1:8">
      <c r="A11" s="1" t="s">
        <v>10</v>
      </c>
      <c r="B11" s="5">
        <v>4862.2400000000007</v>
      </c>
      <c r="C11" s="5"/>
      <c r="D11" s="5">
        <v>31453.8</v>
      </c>
      <c r="E11" s="5"/>
      <c r="F11" s="5">
        <v>0</v>
      </c>
      <c r="G11" s="5"/>
      <c r="H11" s="5">
        <f>+SUM(B11:F11)</f>
        <v>36316.04</v>
      </c>
    </row>
    <row r="12" spans="1:8">
      <c r="B12" s="5"/>
      <c r="C12" s="5"/>
      <c r="D12" s="5"/>
      <c r="E12" s="5"/>
      <c r="F12" s="5"/>
      <c r="G12" s="5"/>
      <c r="H12" s="5"/>
    </row>
    <row r="13" spans="1:8">
      <c r="A13" s="1" t="s">
        <v>11</v>
      </c>
      <c r="B13" s="6">
        <v>-7028.47</v>
      </c>
      <c r="C13" s="7"/>
      <c r="D13" s="6">
        <v>0</v>
      </c>
      <c r="E13" s="5"/>
      <c r="F13" s="6">
        <v>0</v>
      </c>
      <c r="G13" s="5"/>
      <c r="H13" s="6">
        <f>+SUM(B13:F13)</f>
        <v>-7028.47</v>
      </c>
    </row>
    <row r="14" spans="1:8">
      <c r="B14" s="7"/>
      <c r="C14" s="7"/>
      <c r="D14" s="7"/>
      <c r="E14" s="7"/>
      <c r="F14" s="7"/>
      <c r="G14" s="7"/>
      <c r="H14" s="7"/>
    </row>
    <row r="15" spans="1:8" ht="15.75" thickBot="1">
      <c r="A15" s="1" t="s">
        <v>12</v>
      </c>
      <c r="B15" s="8">
        <f>+SUM(B6:B13)</f>
        <v>233.77000000000044</v>
      </c>
      <c r="C15" s="5"/>
      <c r="D15" s="8">
        <f>+SUM(D6:D13)</f>
        <v>31453.8</v>
      </c>
      <c r="E15" s="5"/>
      <c r="F15" s="8">
        <f>+SUM(F6:F13)</f>
        <v>0</v>
      </c>
      <c r="G15" s="5"/>
      <c r="H15" s="8">
        <f>+SUM(H6:H13)</f>
        <v>31687.57</v>
      </c>
    </row>
    <row r="16" spans="1:8" ht="15.75" thickTop="1">
      <c r="B16" s="5"/>
      <c r="C16" s="5"/>
      <c r="D16" s="5"/>
      <c r="E16" s="5"/>
      <c r="F16" s="5"/>
      <c r="G16" s="5"/>
      <c r="H16" s="5"/>
    </row>
    <row r="17" spans="1:8">
      <c r="B17" s="5"/>
      <c r="C17" s="5"/>
      <c r="D17" s="5"/>
      <c r="E17" s="5"/>
      <c r="F17" s="5"/>
      <c r="G17" s="5"/>
      <c r="H17" s="5"/>
    </row>
    <row r="18" spans="1:8" hidden="1">
      <c r="A18" s="1" t="s">
        <v>13</v>
      </c>
      <c r="B18" s="5"/>
      <c r="C18" s="5"/>
      <c r="D18" s="5"/>
      <c r="E18" s="5"/>
      <c r="F18" s="5"/>
      <c r="G18" s="5"/>
      <c r="H18" s="5"/>
    </row>
    <row r="19" spans="1:8" hidden="1">
      <c r="A19" s="1" t="s">
        <v>14</v>
      </c>
      <c r="B19" s="5">
        <v>82.62</v>
      </c>
      <c r="C19" s="5"/>
      <c r="D19" s="5"/>
      <c r="E19" s="5"/>
      <c r="F19" s="5"/>
      <c r="G19" s="5"/>
      <c r="H19" s="5">
        <v>82.62</v>
      </c>
    </row>
    <row r="20" spans="1:8" ht="15.75" hidden="1" thickBot="1">
      <c r="B20" s="9">
        <f>+SUM(B19)</f>
        <v>82.62</v>
      </c>
      <c r="C20" s="5"/>
      <c r="D20" s="5"/>
      <c r="E20" s="5"/>
      <c r="F20" s="5"/>
      <c r="G20" s="5"/>
      <c r="H20" s="9">
        <f>+SUM(H19)</f>
        <v>82.62</v>
      </c>
    </row>
    <row r="21" spans="1:8" hidden="1"/>
    <row r="22" spans="1:8" hidden="1"/>
    <row r="23" spans="1:8" hidden="1">
      <c r="A23" s="1" t="s">
        <v>15</v>
      </c>
    </row>
    <row r="24" spans="1:8" hidden="1">
      <c r="A24" s="1" t="s">
        <v>16</v>
      </c>
      <c r="B24" s="1">
        <v>120</v>
      </c>
      <c r="H24" s="1">
        <v>120</v>
      </c>
    </row>
    <row r="25" spans="1:8" ht="15.75" hidden="1" thickBot="1">
      <c r="A25" s="1" t="s">
        <v>17</v>
      </c>
      <c r="B25" s="10">
        <f>+B15/B24</f>
        <v>1.9480833333333369</v>
      </c>
      <c r="H25" s="10">
        <f>+H15/H24</f>
        <v>264.06308333333334</v>
      </c>
    </row>
    <row r="26" spans="1:8" hidden="1"/>
    <row r="27" spans="1:8" hidden="1"/>
    <row r="28" spans="1:8" hidden="1"/>
    <row r="32" spans="1:8">
      <c r="A32" s="13"/>
      <c r="B32" s="13"/>
      <c r="F32" s="13"/>
      <c r="G32" s="13"/>
      <c r="H32" s="13"/>
    </row>
    <row r="33" spans="1:13">
      <c r="A33" s="12" t="s">
        <v>28</v>
      </c>
      <c r="B33" s="12"/>
      <c r="F33" s="12" t="s">
        <v>19</v>
      </c>
      <c r="G33" s="12"/>
      <c r="H33" s="12"/>
    </row>
    <row r="34" spans="1:13">
      <c r="A34" s="12" t="s">
        <v>20</v>
      </c>
      <c r="B34" s="12"/>
      <c r="F34" s="12" t="s">
        <v>21</v>
      </c>
      <c r="G34" s="12"/>
      <c r="H34" s="12"/>
    </row>
    <row r="38" spans="1:13">
      <c r="B38" s="13"/>
      <c r="C38" s="13"/>
      <c r="D38" s="13"/>
      <c r="E38" s="13"/>
      <c r="F38" s="13"/>
      <c r="M38" s="11"/>
    </row>
    <row r="39" spans="1:13">
      <c r="B39" s="12" t="s">
        <v>22</v>
      </c>
      <c r="C39" s="12"/>
      <c r="D39" s="12"/>
      <c r="E39" s="12"/>
      <c r="F39" s="12"/>
      <c r="L39" s="11"/>
      <c r="M39" s="11"/>
    </row>
    <row r="40" spans="1:13">
      <c r="B40" s="12" t="s">
        <v>23</v>
      </c>
      <c r="C40" s="12"/>
      <c r="D40" s="12"/>
      <c r="E40" s="12"/>
      <c r="F40" s="12"/>
    </row>
    <row r="41" spans="1:13">
      <c r="D41" s="1" t="s">
        <v>24</v>
      </c>
    </row>
  </sheetData>
  <mergeCells count="12">
    <mergeCell ref="B38:F38"/>
    <mergeCell ref="B39:F39"/>
    <mergeCell ref="B40:F40"/>
    <mergeCell ref="A1:H1"/>
    <mergeCell ref="A2:H2"/>
    <mergeCell ref="A3:H3"/>
    <mergeCell ref="A32:B32"/>
    <mergeCell ref="F32:H32"/>
    <mergeCell ref="A33:B33"/>
    <mergeCell ref="F33:H33"/>
    <mergeCell ref="A34:B34"/>
    <mergeCell ref="F34:H34"/>
  </mergeCells>
  <printOptions horizontalCentered="1"/>
  <pageMargins left="0.7" right="0.7" top="0.75" bottom="0.5" header="0.3" footer="0.3"/>
  <pageSetup orientation="landscape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1"/>
  <sheetViews>
    <sheetView showGridLines="0" workbookViewId="0">
      <selection activeCell="C12" sqref="C12"/>
    </sheetView>
  </sheetViews>
  <sheetFormatPr defaultColWidth="11.42578125" defaultRowHeight="15"/>
  <cols>
    <col min="1" max="1" width="29" style="1" customWidth="1"/>
    <col min="2" max="2" width="15.28515625" style="1" customWidth="1"/>
    <col min="3" max="3" width="5.7109375" style="1" customWidth="1"/>
    <col min="4" max="4" width="15.28515625" style="1" customWidth="1"/>
    <col min="5" max="5" width="5.7109375" style="1" customWidth="1"/>
    <col min="6" max="6" width="15.28515625" style="1" customWidth="1"/>
    <col min="7" max="7" width="5.7109375" style="1" customWidth="1"/>
    <col min="8" max="8" width="15.28515625" style="1" customWidth="1"/>
    <col min="9" max="16384" width="11.42578125" style="1"/>
  </cols>
  <sheetData>
    <row r="1" spans="1:8" ht="18">
      <c r="A1" s="14" t="s">
        <v>25</v>
      </c>
      <c r="B1" s="14"/>
      <c r="C1" s="14"/>
      <c r="D1" s="14"/>
      <c r="E1" s="14"/>
      <c r="F1" s="14"/>
      <c r="G1" s="14"/>
      <c r="H1" s="14"/>
    </row>
    <row r="2" spans="1:8">
      <c r="A2" s="12" t="s">
        <v>29</v>
      </c>
      <c r="B2" s="12"/>
      <c r="C2" s="12"/>
      <c r="D2" s="12"/>
      <c r="E2" s="12"/>
      <c r="F2" s="12"/>
      <c r="G2" s="12"/>
      <c r="H2" s="12"/>
    </row>
    <row r="3" spans="1:8">
      <c r="A3" s="12" t="s">
        <v>30</v>
      </c>
      <c r="B3" s="12"/>
      <c r="C3" s="12"/>
      <c r="D3" s="12"/>
      <c r="E3" s="12"/>
      <c r="F3" s="12"/>
      <c r="G3" s="12"/>
      <c r="H3" s="12"/>
    </row>
    <row r="5" spans="1:8">
      <c r="A5" s="2" t="s">
        <v>3</v>
      </c>
      <c r="B5" s="3" t="s">
        <v>31</v>
      </c>
      <c r="C5" s="4"/>
      <c r="D5" s="3" t="s">
        <v>5</v>
      </c>
      <c r="E5" s="4"/>
      <c r="F5" s="3" t="s">
        <v>6</v>
      </c>
      <c r="G5" s="4"/>
      <c r="H5" s="3" t="s">
        <v>32</v>
      </c>
    </row>
    <row r="7" spans="1:8">
      <c r="A7" s="1" t="s">
        <v>8</v>
      </c>
      <c r="B7" s="5">
        <v>2000</v>
      </c>
      <c r="C7" s="5"/>
      <c r="D7" s="5">
        <v>0</v>
      </c>
      <c r="E7" s="5"/>
      <c r="F7" s="5">
        <v>0</v>
      </c>
      <c r="G7" s="5"/>
      <c r="H7" s="5">
        <f>+SUM(B7:F7)</f>
        <v>2000</v>
      </c>
    </row>
    <row r="8" spans="1:8">
      <c r="B8" s="5"/>
      <c r="C8" s="5"/>
      <c r="D8" s="5"/>
      <c r="E8" s="5"/>
      <c r="F8" s="5"/>
      <c r="G8" s="5"/>
      <c r="H8" s="5"/>
    </row>
    <row r="9" spans="1:8">
      <c r="A9" s="1" t="s">
        <v>9</v>
      </c>
      <c r="B9" s="5">
        <v>400</v>
      </c>
      <c r="C9" s="5"/>
      <c r="D9" s="5">
        <v>0</v>
      </c>
      <c r="E9" s="5"/>
      <c r="F9" s="5">
        <v>0</v>
      </c>
      <c r="G9" s="5"/>
      <c r="H9" s="5">
        <f>+SUM(B9:F9)</f>
        <v>400</v>
      </c>
    </row>
    <row r="10" spans="1:8">
      <c r="B10" s="5"/>
      <c r="C10" s="5"/>
      <c r="D10" s="5"/>
      <c r="E10" s="5"/>
      <c r="F10" s="5"/>
      <c r="G10" s="5"/>
      <c r="H10" s="5"/>
    </row>
    <row r="11" spans="1:8">
      <c r="A11" s="1" t="s">
        <v>10</v>
      </c>
      <c r="B11" s="5">
        <v>42861.85</v>
      </c>
      <c r="C11" s="5"/>
      <c r="D11" s="5">
        <v>5608.04</v>
      </c>
      <c r="E11" s="5"/>
      <c r="F11" s="5">
        <v>0</v>
      </c>
      <c r="G11" s="5"/>
      <c r="H11" s="5">
        <f>+SUM(B11:F11)</f>
        <v>48469.89</v>
      </c>
    </row>
    <row r="12" spans="1:8">
      <c r="B12" s="5"/>
      <c r="C12" s="5"/>
      <c r="D12" s="5"/>
      <c r="E12" s="5"/>
      <c r="F12" s="5"/>
      <c r="G12" s="5"/>
      <c r="H12" s="5"/>
    </row>
    <row r="13" spans="1:8">
      <c r="A13" s="1" t="s">
        <v>11</v>
      </c>
      <c r="B13" s="6">
        <v>-42895.37</v>
      </c>
      <c r="C13" s="7"/>
      <c r="D13" s="6">
        <v>0</v>
      </c>
      <c r="E13" s="5"/>
      <c r="F13" s="6">
        <v>0</v>
      </c>
      <c r="G13" s="5"/>
      <c r="H13" s="6">
        <f>+SUM(B13:F13)</f>
        <v>-42895.37</v>
      </c>
    </row>
    <row r="14" spans="1:8">
      <c r="B14" s="7"/>
      <c r="C14" s="7"/>
      <c r="D14" s="7"/>
      <c r="E14" s="7"/>
      <c r="F14" s="7"/>
      <c r="G14" s="7"/>
      <c r="H14" s="7"/>
    </row>
    <row r="15" spans="1:8" ht="15.75" thickBot="1">
      <c r="A15" s="1" t="s">
        <v>12</v>
      </c>
      <c r="B15" s="8">
        <f>+SUM(B6:B13)</f>
        <v>2366.4799999999959</v>
      </c>
      <c r="C15" s="5"/>
      <c r="D15" s="8">
        <f>+SUM(D6:D13)</f>
        <v>5608.04</v>
      </c>
      <c r="E15" s="5"/>
      <c r="F15" s="8">
        <f>+SUM(F6:F13)</f>
        <v>0</v>
      </c>
      <c r="G15" s="5"/>
      <c r="H15" s="8">
        <f>+SUM(H6:H13)</f>
        <v>7974.5199999999968</v>
      </c>
    </row>
    <row r="16" spans="1:8" ht="15.75" thickTop="1">
      <c r="B16" s="5"/>
      <c r="C16" s="5"/>
      <c r="D16" s="5"/>
      <c r="E16" s="5"/>
      <c r="F16" s="5"/>
      <c r="G16" s="5"/>
      <c r="H16" s="5"/>
    </row>
    <row r="17" spans="1:8">
      <c r="B17" s="5"/>
      <c r="C17" s="5"/>
      <c r="D17" s="5"/>
      <c r="E17" s="5"/>
      <c r="F17" s="5"/>
      <c r="G17" s="5"/>
      <c r="H17" s="5"/>
    </row>
    <row r="18" spans="1:8" hidden="1">
      <c r="A18" s="1" t="s">
        <v>13</v>
      </c>
      <c r="B18" s="5"/>
      <c r="C18" s="5"/>
      <c r="D18" s="5"/>
      <c r="E18" s="5"/>
      <c r="F18" s="5"/>
      <c r="G18" s="5"/>
      <c r="H18" s="5"/>
    </row>
    <row r="19" spans="1:8" hidden="1">
      <c r="A19" s="1" t="s">
        <v>14</v>
      </c>
      <c r="B19" s="5">
        <v>82.62</v>
      </c>
      <c r="C19" s="5"/>
      <c r="D19" s="5"/>
      <c r="E19" s="5"/>
      <c r="F19" s="5"/>
      <c r="G19" s="5"/>
      <c r="H19" s="5">
        <v>82.62</v>
      </c>
    </row>
    <row r="20" spans="1:8" ht="15.75" hidden="1" thickBot="1">
      <c r="B20" s="9">
        <f>+SUM(B19)</f>
        <v>82.62</v>
      </c>
      <c r="C20" s="5"/>
      <c r="D20" s="5"/>
      <c r="E20" s="5"/>
      <c r="F20" s="5"/>
      <c r="G20" s="5"/>
      <c r="H20" s="9">
        <f>+SUM(H19)</f>
        <v>82.62</v>
      </c>
    </row>
    <row r="21" spans="1:8" hidden="1"/>
    <row r="22" spans="1:8" hidden="1"/>
    <row r="23" spans="1:8" hidden="1">
      <c r="A23" s="1" t="s">
        <v>15</v>
      </c>
    </row>
    <row r="24" spans="1:8" hidden="1">
      <c r="A24" s="1" t="s">
        <v>16</v>
      </c>
      <c r="B24" s="1">
        <v>120</v>
      </c>
      <c r="H24" s="1">
        <v>120</v>
      </c>
    </row>
    <row r="25" spans="1:8" ht="15.75" hidden="1" thickBot="1">
      <c r="A25" s="1" t="s">
        <v>17</v>
      </c>
      <c r="B25" s="10">
        <f>+B15/B24</f>
        <v>19.720666666666634</v>
      </c>
      <c r="H25" s="10">
        <f>+H15/H24</f>
        <v>66.454333333333309</v>
      </c>
    </row>
    <row r="26" spans="1:8" hidden="1"/>
    <row r="27" spans="1:8" hidden="1"/>
    <row r="28" spans="1:8" hidden="1"/>
    <row r="32" spans="1:8">
      <c r="A32" s="13"/>
      <c r="B32" s="13"/>
      <c r="F32" s="13"/>
      <c r="G32" s="13"/>
      <c r="H32" s="13"/>
    </row>
    <row r="33" spans="1:13">
      <c r="A33" s="12" t="s">
        <v>28</v>
      </c>
      <c r="B33" s="12"/>
      <c r="F33" s="12" t="s">
        <v>19</v>
      </c>
      <c r="G33" s="12"/>
      <c r="H33" s="12"/>
    </row>
    <row r="34" spans="1:13">
      <c r="A34" s="12" t="s">
        <v>20</v>
      </c>
      <c r="B34" s="12"/>
      <c r="F34" s="12" t="s">
        <v>21</v>
      </c>
      <c r="G34" s="12"/>
      <c r="H34" s="12"/>
    </row>
    <row r="38" spans="1:13">
      <c r="B38" s="13"/>
      <c r="C38" s="13"/>
      <c r="D38" s="13"/>
      <c r="E38" s="13"/>
      <c r="F38" s="13"/>
      <c r="M38" s="11"/>
    </row>
    <row r="39" spans="1:13">
      <c r="B39" s="12" t="s">
        <v>22</v>
      </c>
      <c r="C39" s="12"/>
      <c r="D39" s="12"/>
      <c r="E39" s="12"/>
      <c r="F39" s="12"/>
      <c r="L39" s="11"/>
      <c r="M39" s="11"/>
    </row>
    <row r="40" spans="1:13">
      <c r="B40" s="12" t="s">
        <v>23</v>
      </c>
      <c r="C40" s="12"/>
      <c r="D40" s="12"/>
      <c r="E40" s="12"/>
      <c r="F40" s="12"/>
    </row>
    <row r="41" spans="1:13">
      <c r="D41" s="1" t="s">
        <v>24</v>
      </c>
    </row>
  </sheetData>
  <mergeCells count="12">
    <mergeCell ref="B40:F40"/>
    <mergeCell ref="A1:H1"/>
    <mergeCell ref="A2:H2"/>
    <mergeCell ref="A3:H3"/>
    <mergeCell ref="A32:B32"/>
    <mergeCell ref="F32:H32"/>
    <mergeCell ref="A33:B33"/>
    <mergeCell ref="F33:H33"/>
    <mergeCell ref="A34:B34"/>
    <mergeCell ref="F34:H34"/>
    <mergeCell ref="B38:F38"/>
    <mergeCell ref="B39:F39"/>
  </mergeCells>
  <printOptions horizontalCentered="1"/>
  <pageMargins left="0.7" right="0.7" top="0.75" bottom="0.5" header="0.3" footer="0.3"/>
  <pageSetup orientation="landscape" horizont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41"/>
  <sheetViews>
    <sheetView showGridLines="0" tabSelected="1" workbookViewId="0">
      <selection activeCell="I29" sqref="I29"/>
    </sheetView>
  </sheetViews>
  <sheetFormatPr defaultColWidth="11.42578125" defaultRowHeight="15"/>
  <cols>
    <col min="1" max="1" width="29" style="1" customWidth="1"/>
    <col min="2" max="2" width="15.28515625" style="1" customWidth="1"/>
    <col min="3" max="3" width="5.7109375" style="1" customWidth="1"/>
    <col min="4" max="4" width="15.28515625" style="1" customWidth="1"/>
    <col min="5" max="5" width="5.7109375" style="1" customWidth="1"/>
    <col min="6" max="6" width="15.28515625" style="1" customWidth="1"/>
    <col min="7" max="7" width="5.7109375" style="1" customWidth="1"/>
    <col min="8" max="8" width="15.28515625" style="1" customWidth="1"/>
    <col min="9" max="16384" width="11.42578125" style="1"/>
  </cols>
  <sheetData>
    <row r="1" spans="1:8" ht="18">
      <c r="A1" s="14" t="s">
        <v>25</v>
      </c>
      <c r="B1" s="14"/>
      <c r="C1" s="14"/>
      <c r="D1" s="14"/>
      <c r="E1" s="14"/>
      <c r="F1" s="14"/>
      <c r="G1" s="14"/>
      <c r="H1" s="14"/>
    </row>
    <row r="2" spans="1:8">
      <c r="A2" s="15" t="s">
        <v>33</v>
      </c>
      <c r="B2" s="12"/>
      <c r="C2" s="12"/>
      <c r="D2" s="12"/>
      <c r="E2" s="12"/>
      <c r="F2" s="12"/>
      <c r="G2" s="12"/>
      <c r="H2" s="12"/>
    </row>
    <row r="3" spans="1:8">
      <c r="A3" s="12" t="s">
        <v>30</v>
      </c>
      <c r="B3" s="12"/>
      <c r="C3" s="12"/>
      <c r="D3" s="12"/>
      <c r="E3" s="12"/>
      <c r="F3" s="12"/>
      <c r="G3" s="12"/>
      <c r="H3" s="12"/>
    </row>
    <row r="5" spans="1:8">
      <c r="A5" s="2" t="s">
        <v>3</v>
      </c>
      <c r="B5" s="3" t="s">
        <v>32</v>
      </c>
      <c r="C5" s="4"/>
      <c r="D5" s="3" t="s">
        <v>5</v>
      </c>
      <c r="E5" s="4"/>
      <c r="F5" s="3" t="s">
        <v>6</v>
      </c>
      <c r="G5" s="4"/>
      <c r="H5" s="3" t="s">
        <v>34</v>
      </c>
    </row>
    <row r="7" spans="1:8">
      <c r="A7" s="1" t="s">
        <v>8</v>
      </c>
      <c r="B7" s="5">
        <v>2000</v>
      </c>
      <c r="C7" s="5"/>
      <c r="D7" s="5">
        <v>0</v>
      </c>
      <c r="E7" s="5"/>
      <c r="F7" s="5">
        <v>0</v>
      </c>
      <c r="G7" s="5"/>
      <c r="H7" s="5">
        <f>+SUM(B7:F7)</f>
        <v>2000</v>
      </c>
    </row>
    <row r="8" spans="1:8">
      <c r="B8" s="5"/>
      <c r="C8" s="5"/>
      <c r="D8" s="5"/>
      <c r="E8" s="5"/>
      <c r="F8" s="5"/>
      <c r="G8" s="5"/>
      <c r="H8" s="5"/>
    </row>
    <row r="9" spans="1:8">
      <c r="A9" s="1" t="s">
        <v>9</v>
      </c>
      <c r="B9" s="5">
        <v>400</v>
      </c>
      <c r="C9" s="5"/>
      <c r="D9" s="5">
        <v>0</v>
      </c>
      <c r="E9" s="5"/>
      <c r="F9" s="5">
        <v>0</v>
      </c>
      <c r="G9" s="5"/>
      <c r="H9" s="5">
        <f>+SUM(B9:F9)</f>
        <v>400</v>
      </c>
    </row>
    <row r="10" spans="1:8">
      <c r="B10" s="5"/>
      <c r="C10" s="5"/>
      <c r="D10" s="5"/>
      <c r="E10" s="5"/>
      <c r="F10" s="5"/>
      <c r="G10" s="5"/>
      <c r="H10" s="5"/>
    </row>
    <row r="11" spans="1:8">
      <c r="A11" s="1" t="s">
        <v>10</v>
      </c>
      <c r="B11" s="5">
        <v>48469.89</v>
      </c>
      <c r="C11" s="5"/>
      <c r="D11" s="5">
        <v>0</v>
      </c>
      <c r="E11" s="5"/>
      <c r="F11" s="5">
        <v>0</v>
      </c>
      <c r="G11" s="5"/>
      <c r="H11" s="5">
        <f>+SUM(B11:F11)</f>
        <v>48469.89</v>
      </c>
    </row>
    <row r="12" spans="1:8">
      <c r="B12" s="5"/>
      <c r="C12" s="5"/>
      <c r="D12" s="5"/>
      <c r="E12" s="5"/>
      <c r="F12" s="5"/>
      <c r="G12" s="5"/>
      <c r="H12" s="5"/>
    </row>
    <row r="13" spans="1:8">
      <c r="A13" s="1" t="s">
        <v>11</v>
      </c>
      <c r="B13" s="6">
        <v>-42895.37</v>
      </c>
      <c r="C13" s="7"/>
      <c r="D13" s="6">
        <v>-3548.1000000000004</v>
      </c>
      <c r="E13" s="5"/>
      <c r="F13" s="6">
        <v>0</v>
      </c>
      <c r="G13" s="5"/>
      <c r="H13" s="6">
        <f>+SUM(B13:F13)</f>
        <v>-46443.47</v>
      </c>
    </row>
    <row r="14" spans="1:8">
      <c r="B14" s="7"/>
      <c r="C14" s="7"/>
      <c r="D14" s="7"/>
      <c r="E14" s="7"/>
      <c r="F14" s="7"/>
      <c r="G14" s="7"/>
      <c r="H14" s="7"/>
    </row>
    <row r="15" spans="1:8" ht="15.75" thickBot="1">
      <c r="A15" s="1" t="s">
        <v>12</v>
      </c>
      <c r="B15" s="8">
        <v>7974.5199999999968</v>
      </c>
      <c r="C15" s="5"/>
      <c r="D15" s="8">
        <f>+SUM(D6:D13)</f>
        <v>-3548.1000000000004</v>
      </c>
      <c r="E15" s="5"/>
      <c r="F15" s="8">
        <f>+SUM(F6:F13)</f>
        <v>0</v>
      </c>
      <c r="G15" s="5"/>
      <c r="H15" s="8">
        <f>+SUM(H6:H13)</f>
        <v>4426.4199999999983</v>
      </c>
    </row>
    <row r="16" spans="1:8" ht="15.75" thickTop="1">
      <c r="B16" s="5"/>
      <c r="C16" s="5"/>
      <c r="D16" s="5"/>
      <c r="E16" s="5"/>
      <c r="F16" s="5"/>
      <c r="G16" s="5"/>
      <c r="H16" s="5"/>
    </row>
    <row r="17" spans="1:8">
      <c r="B17" s="5"/>
      <c r="C17" s="5"/>
      <c r="D17" s="5"/>
      <c r="E17" s="5"/>
      <c r="F17" s="5"/>
      <c r="G17" s="5"/>
      <c r="H17" s="5"/>
    </row>
    <row r="18" spans="1:8" hidden="1">
      <c r="A18" s="1" t="s">
        <v>13</v>
      </c>
      <c r="B18" s="5"/>
      <c r="C18" s="5"/>
      <c r="D18" s="5"/>
      <c r="E18" s="5"/>
      <c r="F18" s="5"/>
      <c r="G18" s="5"/>
      <c r="H18" s="5"/>
    </row>
    <row r="19" spans="1:8" hidden="1">
      <c r="A19" s="1" t="s">
        <v>14</v>
      </c>
      <c r="B19" s="5">
        <v>82.62</v>
      </c>
      <c r="C19" s="5"/>
      <c r="D19" s="5"/>
      <c r="E19" s="5"/>
      <c r="F19" s="5"/>
      <c r="G19" s="5"/>
      <c r="H19" s="5">
        <v>82.62</v>
      </c>
    </row>
    <row r="20" spans="1:8" ht="15.75" hidden="1" thickBot="1">
      <c r="B20" s="9">
        <f>+SUM(B19)</f>
        <v>82.62</v>
      </c>
      <c r="C20" s="5"/>
      <c r="D20" s="5"/>
      <c r="E20" s="5"/>
      <c r="F20" s="5"/>
      <c r="G20" s="5"/>
      <c r="H20" s="9">
        <f>+SUM(H19)</f>
        <v>82.62</v>
      </c>
    </row>
    <row r="21" spans="1:8" hidden="1"/>
    <row r="22" spans="1:8" hidden="1"/>
    <row r="23" spans="1:8" hidden="1">
      <c r="A23" s="1" t="s">
        <v>15</v>
      </c>
    </row>
    <row r="24" spans="1:8" hidden="1">
      <c r="A24" s="1" t="s">
        <v>16</v>
      </c>
      <c r="B24" s="1">
        <v>120</v>
      </c>
      <c r="H24" s="1">
        <v>120</v>
      </c>
    </row>
    <row r="25" spans="1:8" ht="15.75" hidden="1" thickBot="1">
      <c r="A25" s="1" t="s">
        <v>17</v>
      </c>
      <c r="B25" s="10">
        <f>+B15/B24</f>
        <v>66.454333333333309</v>
      </c>
      <c r="H25" s="10">
        <f>+H15/H24</f>
        <v>36.886833333333321</v>
      </c>
    </row>
    <row r="26" spans="1:8" hidden="1"/>
    <row r="27" spans="1:8" hidden="1"/>
    <row r="28" spans="1:8" hidden="1"/>
    <row r="32" spans="1:8">
      <c r="A32" s="13"/>
      <c r="B32" s="13"/>
      <c r="F32" s="13"/>
      <c r="G32" s="13"/>
      <c r="H32" s="13"/>
    </row>
    <row r="33" spans="1:13">
      <c r="A33" s="12" t="s">
        <v>28</v>
      </c>
      <c r="B33" s="12"/>
      <c r="F33" s="12" t="s">
        <v>19</v>
      </c>
      <c r="G33" s="12"/>
      <c r="H33" s="12"/>
    </row>
    <row r="34" spans="1:13">
      <c r="A34" s="12" t="s">
        <v>20</v>
      </c>
      <c r="B34" s="12"/>
      <c r="F34" s="12" t="s">
        <v>21</v>
      </c>
      <c r="G34" s="12"/>
      <c r="H34" s="12"/>
    </row>
    <row r="38" spans="1:13">
      <c r="B38" s="13"/>
      <c r="C38" s="13"/>
      <c r="D38" s="13"/>
      <c r="E38" s="13"/>
      <c r="F38" s="13"/>
      <c r="M38" s="11"/>
    </row>
    <row r="39" spans="1:13">
      <c r="B39" s="12" t="s">
        <v>22</v>
      </c>
      <c r="C39" s="12"/>
      <c r="D39" s="12"/>
      <c r="E39" s="12"/>
      <c r="F39" s="12"/>
      <c r="L39" s="11"/>
      <c r="M39" s="11"/>
    </row>
    <row r="40" spans="1:13">
      <c r="B40" s="12" t="s">
        <v>23</v>
      </c>
      <c r="C40" s="12"/>
      <c r="D40" s="12"/>
      <c r="E40" s="12"/>
      <c r="F40" s="12"/>
    </row>
    <row r="41" spans="1:13">
      <c r="D41" s="1" t="s">
        <v>24</v>
      </c>
    </row>
  </sheetData>
  <mergeCells count="12">
    <mergeCell ref="A33:B33"/>
    <mergeCell ref="F33:H33"/>
    <mergeCell ref="A1:H1"/>
    <mergeCell ref="A2:H2"/>
    <mergeCell ref="A3:H3"/>
    <mergeCell ref="A32:B32"/>
    <mergeCell ref="F32:H32"/>
    <mergeCell ref="A34:B34"/>
    <mergeCell ref="F34:H34"/>
    <mergeCell ref="B38:F38"/>
    <mergeCell ref="B39:F39"/>
    <mergeCell ref="B40:F40"/>
  </mergeCells>
  <printOptions horizontalCentered="1"/>
  <pageMargins left="0.7" right="0.7" top="0.75" bottom="0.5" header="0.3" footer="0.3"/>
  <pageSetup orientation="landscape" horizontalDpi="4294967294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F46416659BA74987BCE302007A318E" ma:contentTypeVersion="15" ma:contentTypeDescription="Crear nuevo documento." ma:contentTypeScope="" ma:versionID="8b35513354af63e986345b5409b9f70e">
  <xsd:schema xmlns:xsd="http://www.w3.org/2001/XMLSchema" xmlns:xs="http://www.w3.org/2001/XMLSchema" xmlns:p="http://schemas.microsoft.com/office/2006/metadata/properties" xmlns:ns2="2ae7f273-b714-401b-905f-53481aee3273" xmlns:ns3="8a2bc7ff-4258-4d5c-9304-6b26cb5a4e07" targetNamespace="http://schemas.microsoft.com/office/2006/metadata/properties" ma:root="true" ma:fieldsID="4d8dd5c07f5e85c62b4b08b15642a980" ns2:_="" ns3:_="">
    <xsd:import namespace="2ae7f273-b714-401b-905f-53481aee3273"/>
    <xsd:import namespace="8a2bc7ff-4258-4d5c-9304-6b26cb5a4e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7f273-b714-401b-905f-53481aee32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91734ea-545c-4c2b-8aaf-f4606096c0dc}" ma:internalName="TaxCatchAll" ma:showField="CatchAllData" ma:web="2ae7f273-b714-401b-905f-53481aee32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2bc7ff-4258-4d5c-9304-6b26cb5a4e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400971d-75bb-4dae-a32f-3edd0b98a9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e7f273-b714-401b-905f-53481aee3273" xsi:nil="true"/>
    <lcf76f155ced4ddcb4097134ff3c332f xmlns="8a2bc7ff-4258-4d5c-9304-6b26cb5a4e0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06850B-6529-4D47-9AA5-612CF61E16DF}"/>
</file>

<file path=customXml/itemProps2.xml><?xml version="1.0" encoding="utf-8"?>
<ds:datastoreItem xmlns:ds="http://schemas.openxmlformats.org/officeDocument/2006/customXml" ds:itemID="{A7873410-E613-4A2E-B052-E772704AB068}"/>
</file>

<file path=customXml/itemProps3.xml><?xml version="1.0" encoding="utf-8"?>
<ds:datastoreItem xmlns:ds="http://schemas.openxmlformats.org/officeDocument/2006/customXml" ds:itemID="{6B6236CF-9F50-406F-BA88-4A5BCF1B5B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Toshiba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Ronny Chávez</dc:creator>
  <cp:keywords/>
  <dc:description/>
  <cp:lastModifiedBy>Ronny Chávez</cp:lastModifiedBy>
  <cp:revision/>
  <dcterms:created xsi:type="dcterms:W3CDTF">2016-11-23T02:53:47Z</dcterms:created>
  <dcterms:modified xsi:type="dcterms:W3CDTF">2026-06-23T00:56:26Z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0x010100F3F46416659BA74987BCE302007A318E</vt:lpwstr>
  </property>
  <property fmtid="{D5CDD505-2E9C-101B-9397-08002B2CF9AE}" pid="3" name="MediaServiceImageTags">
    <vt:lpwstr/>
  </property>
</Properties>
</file>